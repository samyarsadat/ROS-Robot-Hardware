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<sst xmlns="http://schemas.openxmlformats.org/spreadsheetml/2006/main" uniqueCount="133">
  <si>
    <t>Project File Name:</t>
  </si>
  <si>
    <t>Supplier 1</t>
  </si>
  <si>
    <t>Supplier Part Number 1</t>
  </si>
  <si>
    <t>Main Project:</t>
  </si>
  <si>
    <t xml:space="preserve">Author: </t>
  </si>
  <si>
    <t>No. Of Parts</t>
  </si>
  <si>
    <t xml:space="preserve">Date Exported: </t>
  </si>
  <si>
    <t>1µF</t>
  </si>
  <si>
    <t>25V</t>
  </si>
  <si>
    <t>Amber</t>
  </si>
  <si>
    <t>CONN PLUG 10POS 2.50MM R/A SLDR</t>
  </si>
  <si>
    <t xml:space="preserve">Variant: </t>
  </si>
  <si>
    <t>Part Number</t>
  </si>
  <si>
    <t>Description</t>
  </si>
  <si>
    <t>Value</t>
  </si>
  <si>
    <t>Tolerance</t>
  </si>
  <si>
    <t>Voltage</t>
  </si>
  <si>
    <t>Color</t>
  </si>
  <si>
    <t>Quantity</t>
  </si>
  <si>
    <t>Manufacturer</t>
  </si>
  <si>
    <t>Supplier</t>
  </si>
  <si>
    <t>Supplier Part Number</t>
  </si>
  <si>
    <t>±10%</t>
  </si>
  <si>
    <t>TE Connectivity AMP Connectors</t>
  </si>
  <si>
    <t>The ROS Robot Project</t>
  </si>
  <si>
    <t>Pack_BMS_Module.PrjPcb</t>
  </si>
  <si>
    <t>7/19/2026</t>
  </si>
  <si>
    <t>Samyar Sadat Akhavi</t>
  </si>
  <si>
    <t>None</t>
  </si>
  <si>
    <t>1746092-1</t>
  </si>
  <si>
    <t>BAT54HT1G</t>
  </si>
  <si>
    <t>BM02B-SRSS-TB(LF)(SN)</t>
  </si>
  <si>
    <t>BQ41Z50RSNR</t>
  </si>
  <si>
    <t>BQ296100DSGR</t>
  </si>
  <si>
    <t>DMN1019USN-7</t>
  </si>
  <si>
    <t>FDN358P</t>
  </si>
  <si>
    <t>GEN-CC1UT10V25KX7R805</t>
  </si>
  <si>
    <t>GEN-CC100NT10V25KX7R603</t>
  </si>
  <si>
    <t>GEN-CC470NT10V16KX7R603</t>
  </si>
  <si>
    <t>GEN-CILAMBLCLR805</t>
  </si>
  <si>
    <t>GEN-CILGRNLCLR805</t>
  </si>
  <si>
    <t>GEN-CILREDLCLR805</t>
  </si>
  <si>
    <t>GEN-CRR1KT1P8603</t>
  </si>
  <si>
    <t>GEN-CRR5K1T5P8603</t>
  </si>
  <si>
    <t>GEN-CRR5R1T1P8603</t>
  </si>
  <si>
    <t>GEN-CRR10KT5P8603</t>
  </si>
  <si>
    <t>GEN-CRR10MT5P8603</t>
  </si>
  <si>
    <t>GEN-CRR47T1P8603</t>
  </si>
  <si>
    <t>GEN-CRR50T1P11206</t>
  </si>
  <si>
    <t>GEN-CRR51KT5P8603</t>
  </si>
  <si>
    <t>GEN-CRR100T1P8603</t>
  </si>
  <si>
    <t>GEN-CRR300T5P8603</t>
  </si>
  <si>
    <t>IQEH54NE2LM7UCG</t>
  </si>
  <si>
    <t>IRLML6344TRPBF</t>
  </si>
  <si>
    <t>ITV4030L1215</t>
  </si>
  <si>
    <t>NTCGS163JX103DT8</t>
  </si>
  <si>
    <t>PTS815SJK250SMTRLFS</t>
  </si>
  <si>
    <t>S4B-XH-SM4-TB(LF)(SN)</t>
  </si>
  <si>
    <t>SMCJ13A</t>
  </si>
  <si>
    <t>TLR3A20DR001FTDG</t>
  </si>
  <si>
    <t>TPD1E10B06DPYR</t>
  </si>
  <si>
    <t>TPS70933DBVR</t>
  </si>
  <si>
    <t>XT60PW-M</t>
  </si>
  <si>
    <t>DIODE SCHOTTKY 30V 200MA SOD323</t>
  </si>
  <si>
    <t>CONN HEADER SMD 2POS 1MM</t>
  </si>
  <si>
    <t>2 TO 4 SERIES LI-ION HIGHLY INTE</t>
  </si>
  <si>
    <t>IC BATT PROT LI-ION 2-4CEL 8WSON</t>
  </si>
  <si>
    <t>MOSFET N-CH 12V 9.3A SC59</t>
  </si>
  <si>
    <t>MOSFET P-CH 30V 1.5A SSOT3</t>
  </si>
  <si>
    <t>GENERIC 0805 MLC CAPACITOR</t>
  </si>
  <si>
    <t>GENERIC 0603 MLC CAPACITOR</t>
  </si>
  <si>
    <t>GENERIC 0805 INDICATOR LED</t>
  </si>
  <si>
    <t>GENERIC 0603 CHIP RESISTOR</t>
  </si>
  <si>
    <t>GENERIC 1206 CHIP RESISTOR</t>
  </si>
  <si>
    <t>IGFET, N-CHANNEL, ENHANCEMENT, BODY DIODE</t>
  </si>
  <si>
    <t>MOSFET N-CH 30V 5A MICRO3/SOT23</t>
  </si>
  <si>
    <t>FUSE BATTERY PROTECTOR 12V 15A</t>
  </si>
  <si>
    <t>NTC,10K,0.5%,0603,150C,AEC-Q200,</t>
  </si>
  <si>
    <t>SWITCH TACTILE SPST-NO 0.05A 12V</t>
  </si>
  <si>
    <t>CONN HEADER SMD R/A 4POS 2.5MM</t>
  </si>
  <si>
    <t>TVS DIODE 13VWM 21.5VC DO214AB</t>
  </si>
  <si>
    <t>RES 0.001 OHM 1% 2W 2512</t>
  </si>
  <si>
    <t>TVS DIODE 5.5VWM 14VC 2X1SON</t>
  </si>
  <si>
    <t>IC REG LINEAR 3.3V 150MA SOT23-5</t>
  </si>
  <si>
    <t>MALE XT60 PCB-MOUNT SOLDERABLE CONNECTOR</t>
  </si>
  <si>
    <t>100nF</t>
  </si>
  <si>
    <t>470nF</t>
  </si>
  <si>
    <t>1k</t>
  </si>
  <si>
    <t>5.1k</t>
  </si>
  <si>
    <t>5.1R</t>
  </si>
  <si>
    <t>10k</t>
  </si>
  <si>
    <t>10M</t>
  </si>
  <si>
    <t>47R</t>
  </si>
  <si>
    <t>50R</t>
  </si>
  <si>
    <t>51k</t>
  </si>
  <si>
    <t>100R</t>
  </si>
  <si>
    <t>300R</t>
  </si>
  <si>
    <t>1 mOhms</t>
  </si>
  <si>
    <t>16V</t>
  </si>
  <si>
    <t>36VDC</t>
  </si>
  <si>
    <t>±1%</t>
  </si>
  <si>
    <t>±5%</t>
  </si>
  <si>
    <t>Green</t>
  </si>
  <si>
    <t>Red</t>
  </si>
  <si>
    <t>ON Semiconductor</t>
  </si>
  <si>
    <t>JST Sales America Inc.</t>
  </si>
  <si>
    <t>Texas Instruments</t>
  </si>
  <si>
    <t>Diodes Incorporated</t>
  </si>
  <si>
    <t>Infineon Technologies</t>
  </si>
  <si>
    <t>Littelfuse Inc.</t>
  </si>
  <si>
    <t>TDK Corporation</t>
  </si>
  <si>
    <t>C&amp;K</t>
  </si>
  <si>
    <t>TE Connectivity Passive Product</t>
  </si>
  <si>
    <t>AMASS</t>
  </si>
  <si>
    <t>DigiKey</t>
  </si>
  <si>
    <t>TME</t>
  </si>
  <si>
    <t>A107791-ND</t>
  </si>
  <si>
    <t>BAT54HT1GOSCT-ND</t>
  </si>
  <si>
    <t>455-1788-1-ND</t>
  </si>
  <si>
    <t>296-BQ41Z50RSNRCT-ND</t>
  </si>
  <si>
    <t>296-50964-1-ND</t>
  </si>
  <si>
    <t>DMN1019USN-7DICT-ND</t>
  </si>
  <si>
    <t>FDN358PCT-ND</t>
  </si>
  <si>
    <t>448-IQEH54NE2LM7UCGATMA1CT-ND</t>
  </si>
  <si>
    <t>IRLML6344TRPBFCT-ND</t>
  </si>
  <si>
    <t>18-ITV4030L1215NRCT-ND</t>
  </si>
  <si>
    <t>445-NTCGS163JX103DT8CT-ND</t>
  </si>
  <si>
    <t>CKN12216-1-ND</t>
  </si>
  <si>
    <t>455-2262-1-ND</t>
  </si>
  <si>
    <t>SMCJ13ALFCT-ND</t>
  </si>
  <si>
    <t>A129565CT-ND</t>
  </si>
  <si>
    <t>296-30406-1-ND</t>
  </si>
  <si>
    <t>296-35483-1-ND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</si>
</sst>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37" numFmtId="0" fontId="9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3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0" xfId="0" applyAlignment="1" applyBorder="1" applyFont="1" applyNumberFormat="1" applyFill="1" applyProtection="1">
      <alignment horizontal="right"/>
    </xf>
    <xf xxid="10" numFmtId="0" fontId="5" fillId="0" borderId="5" xfId="0" applyAlignment="1" applyBorder="1" applyFont="1" applyNumberFormat="1" applyFill="1" applyProtection="1"/>
    <xf xxid="11" numFmtId="0" fontId="0" fillId="0" borderId="6" xfId="0" applyAlignment="1" applyBorder="1" applyFont="1" applyNumberFormat="1" applyFill="1" applyProtection="1"/>
    <xf xxid="12" numFmtId="0" fontId="3" fillId="0" borderId="7" xfId="0" applyAlignment="1" applyBorder="1" applyFont="1" applyNumberFormat="1" applyFill="1" applyProtection="1"/>
    <xf xxid="13" numFmtId="0" fontId="0" fillId="0" borderId="5" xfId="0" applyAlignment="1" applyBorder="1" applyFont="1" applyNumberFormat="1" applyFill="1" applyProtection="1"/>
    <xf xxid="14" numFmtId="0" fontId="3" fillId="0" borderId="1" xfId="0" applyAlignment="1" applyBorder="1" applyFont="1" applyNumberFormat="1" applyFill="1" applyProtection="1"/>
    <xf xxid="15" numFmtId="0" fontId="3" fillId="0" borderId="8" xfId="0" applyAlignment="1" applyBorder="1" applyFont="1" applyNumberFormat="1" applyFill="1" applyProtection="1"/>
    <xf xxid="16" numFmtId="0" fontId="6" fillId="0" borderId="9" xfId="0" applyAlignment="1" applyBorder="1" applyFont="1" applyNumberFormat="1" applyFill="1" applyProtection="1"/>
    <xf xxid="17" numFmtId="0" fontId="6" fillId="0" borderId="10" xfId="0" applyAlignment="1" applyBorder="1" applyFont="1" applyNumberFormat="1" applyFill="1" applyProtection="1"/>
    <xf xxid="18" numFmtId="0" fontId="0" fillId="0" borderId="11" xfId="0" applyAlignment="1" applyBorder="1" applyFont="1" applyNumberFormat="1" applyFill="1" applyProtection="1"/>
    <xf xxid="19" numFmtId="0" fontId="0" fillId="2" borderId="12" xfId="2" applyAlignment="1" applyBorder="1" applyFont="1" applyNumberFormat="1" applyFill="1" applyProtection="1">
      <alignment horizontal="center" vertical="center"/>
    </xf>
    <xf xxid="20" numFmtId="0" fontId="0" fillId="3" borderId="13" xfId="0" applyAlignment="1" applyBorder="1" applyFont="1" applyNumberFormat="1" applyFill="1" applyProtection="1">
      <alignment horizontal="center" vertical="center"/>
    </xf>
    <xf xxid="21" numFmtId="0" fontId="0" fillId="3" borderId="12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0" borderId="15" xfId="0" applyAlignment="1" applyBorder="1" applyFont="1" applyNumberFormat="1" applyFill="1" applyProtection="1">
      <alignment horizontal="center" vertical="center"/>
    </xf>
    <xf xxid="24" numFmtId="0" fontId="2" fillId="2" borderId="16" xfId="2" applyAlignment="1" applyBorder="1" applyFont="1" applyNumberFormat="1" applyFill="1" applyProtection="1">
      <alignment horizontal="center" vertical="center"/>
    </xf>
    <xf xxid="25" numFmtId="0" fontId="0" fillId="3" borderId="13" xfId="0" applyAlignment="1" applyBorder="1" applyFont="1" applyNumberFormat="1" applyFill="1" applyProtection="1">
      <alignment wrapText="1"/>
    </xf>
    <xf xxid="26" numFmtId="0" fontId="0" fillId="2" borderId="0" xfId="2" applyAlignment="1" applyBorder="1" applyFont="1" applyNumberFormat="1" applyFill="1" applyProtection="1">
      <alignment wrapText="1"/>
    </xf>
    <xf xxid="27" numFmtId="0" fontId="0" fillId="3" borderId="12" xfId="0" applyAlignment="1" applyBorder="1" applyFont="1" applyNumberFormat="1" applyFill="1" applyProtection="1">
      <alignment wrapText="1"/>
    </xf>
    <xf xxid="28" numFmtId="0" fontId="0" fillId="3" borderId="14" xfId="0" applyAlignment="1" applyBorder="1" applyFont="1" applyNumberFormat="1" applyFill="1" applyProtection="1">
      <alignment wrapText="1"/>
    </xf>
    <xf xxid="29" numFmtId="0" fontId="0" fillId="0" borderId="12" xfId="0" applyAlignment="1" applyBorder="1" applyFont="1" applyNumberFormat="1" applyFill="1" applyProtection="1">
      <alignment vertical="center"/>
    </xf>
    <xf xxid="30" numFmtId="0" fontId="0" fillId="0" borderId="14" xfId="0" applyAlignment="1" applyBorder="1" applyFont="1" applyNumberFormat="1" applyFill="1" applyProtection="1">
      <alignment vertical="center"/>
    </xf>
    <xf xxid="31" numFmtId="0" fontId="6" fillId="0" borderId="13" xfId="0" applyAlignment="1" applyBorder="1" applyFont="1" applyNumberFormat="1" applyFill="1" applyProtection="1">
      <alignment vertical="center"/>
    </xf>
    <xf xxid="32" numFmtId="0" fontId="6" fillId="0" borderId="12" xfId="0" applyAlignment="1" applyBorder="1" applyFont="1" applyNumberFormat="1" applyFill="1" applyProtection="1">
      <alignment vertical="center"/>
    </xf>
    <xf xxid="33" numFmtId="0" fontId="2" fillId="0" borderId="2" xfId="0" applyAlignment="1" applyBorder="1" applyFont="1" applyNumberFormat="1" applyFill="1" applyProtection="1">
      <alignment horizontal="right"/>
    </xf>
    <xf xxid="34" numFmtId="0" fontId="0" fillId="0" borderId="0" xfId="0"/>
    <xf xxid="35" numFmtId="0" fontId="6" fillId="0" borderId="9" xfId="0" applyAlignment="1" applyBorder="1" applyFont="1" applyNumberFormat="1" applyFill="1" applyProtection="1" quotePrefix="1"/>
    <xf xxid="36" numFmtId="0" fontId="6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2196564</xdr:colOff>
      <xdr:row>2</xdr:row>
      <xdr:rowOff>54694</xdr:rowOff>
    </xdr:from>
    <xdr:to>
      <xdr:col>10</xdr:col>
      <xdr:colOff>597229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9293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273248</xdr:colOff>
      <xdr:row>3</xdr:row>
      <xdr:rowOff>179338</xdr:rowOff>
    </xdr:from>
    <xdr:ext cx="2809875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2465426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2196564</xdr:colOff>
      <xdr:row>2</xdr:row>
      <xdr:rowOff>54694</xdr:rowOff>
    </xdr:from>
    <xdr:to>
      <xdr:col>10</xdr:col>
      <xdr:colOff>597229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9293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273248</xdr:colOff>
      <xdr:row>3</xdr:row>
      <xdr:rowOff>179338</xdr:rowOff>
    </xdr:from>
    <xdr:ext cx="2809875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2465426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K50"/>
  <sheetViews>
    <sheetView showGridLines="0" zoomScale="85" zoomScaleNormal="85" view="normal" workbookViewId="0">
      <selection pane="topLeft" activeCell="I23" sqref="I23"/>
    </sheetView>
  </sheetViews>
  <sheetFormatPr defaultRowHeight="15" baseColWidth="0"/>
  <cols>
    <col min="1" max="1" width="4.99609375" customWidth="1"/>
    <col min="2" max="2" width="28.99609375" customWidth="1"/>
    <col min="3" max="3" width="63.56640625" customWidth="1"/>
    <col min="4" max="4" width="10.56640625" customWidth="1"/>
    <col min="5" max="5" width="9.8515625" customWidth="1"/>
    <col min="6" max="6" width="11.7109375" customWidth="1"/>
    <col min="7" max="7" width="9.28125" customWidth="1"/>
    <col min="8" max="8" width="32.7109375" customWidth="1"/>
    <col min="9" max="9" width="15.421875" customWidth="1"/>
    <col min="10" max="10" width="38.99609375" customWidth="1"/>
    <col min="11" max="11" width="12.421875" customWidth="1"/>
  </cols>
  <sheetData>
    <row r="1" spans="3:10" ht="20.25" customHeight="1" thickBot="1">
      <c r="C1" s="3"/>
      <c r="D1" s="3"/>
      <c r="E1" s="3"/>
      <c r="F1" s="3"/>
      <c r="G1"/>
      <c r="H1"/>
      <c r="I1"/>
      <c r="J1"/>
    </row>
    <row r="2" spans="2:11" ht="18.75" customHeight="1">
      <c r="B2" s="7"/>
      <c r="G2" s="1"/>
      <c r="H2" s="1"/>
      <c r="I2" s="1"/>
      <c r="J2" s="1"/>
      <c r="K2" s="15"/>
    </row>
    <row r="3" spans="2:11" ht="15.75" customHeight="1">
      <c r="B3" s="2"/>
      <c r="G3"/>
      <c r="H3"/>
      <c r="I3"/>
      <c r="J3"/>
      <c r="K3" s="5"/>
    </row>
    <row r="4" spans="1:11">
      <c r="A4" s="5"/>
      <c r="B4" s="6" t="s">
        <v>3</v>
      </c>
      <c r="C4" s="32" t="s">
        <v>24</v>
      </c>
      <c r="G4"/>
      <c r="J4"/>
      <c r="K4" s="5"/>
    </row>
    <row r="5" spans="1:11">
      <c r="A5" s="5"/>
      <c r="B5" s="6" t="s">
        <v>0</v>
      </c>
      <c r="C5" s="33" t="s">
        <v>25</v>
      </c>
      <c r="G5"/>
      <c r="J5"/>
      <c r="K5" s="5"/>
    </row>
    <row r="6" spans="1:11">
      <c r="A6" s="5"/>
      <c r="B6" s="6" t="s">
        <v>6</v>
      </c>
      <c r="C6" s="33" t="s">
        <v>26</v>
      </c>
      <c r="G6"/>
      <c r="J6"/>
      <c r="K6" s="5"/>
    </row>
    <row r="7" spans="1:11">
      <c r="A7" s="5"/>
      <c r="B7" s="6" t="s">
        <v>4</v>
      </c>
      <c r="C7" s="33" t="s">
        <v>27</v>
      </c>
      <c r="G7"/>
      <c r="H7"/>
      <c r="I7"/>
      <c r="J7"/>
      <c r="K7" s="5"/>
    </row>
    <row r="8" spans="1:11">
      <c r="A8" s="5"/>
      <c r="B8" s="30" t="s">
        <v>11</v>
      </c>
      <c r="C8" s="33" t="s">
        <v>28</v>
      </c>
      <c r="G8"/>
      <c r="H8"/>
      <c r="I8"/>
      <c r="J8"/>
      <c r="K8" s="5"/>
    </row>
    <row r="9" spans="2:11">
      <c r="B9" s="2"/>
      <c r="G9"/>
      <c r="H9"/>
      <c r="I9"/>
      <c r="J9"/>
      <c r="K9" s="5"/>
    </row>
    <row r="10" spans="2:11">
      <c r="B10" s="2"/>
      <c r="G10"/>
      <c r="H10"/>
      <c r="I10"/>
      <c r="J10"/>
      <c r="K10" s="5"/>
    </row>
    <row r="11" spans="2:11">
      <c r="B11" s="17" t="s">
        <v>12</v>
      </c>
      <c r="C11" s="16" t="s">
        <v>13</v>
      </c>
      <c r="D11" s="16" t="s">
        <v>14</v>
      </c>
      <c r="E11" s="16" t="s">
        <v>16</v>
      </c>
      <c r="F11" s="16" t="s">
        <v>15</v>
      </c>
      <c r="G11" s="18" t="s">
        <v>17</v>
      </c>
      <c r="H11" s="18" t="s">
        <v>19</v>
      </c>
      <c r="I11" s="18" t="s">
        <v>20</v>
      </c>
      <c r="J11" s="18" t="s">
        <v>21</v>
      </c>
      <c r="K11" s="19" t="s">
        <v>18</v>
      </c>
    </row>
    <row r="12" spans="2:11" ht="30" hidden="1">
      <c r="B12" s="22" t="s">
        <v>12</v>
      </c>
      <c r="C12" s="23" t="s">
        <v>13</v>
      </c>
      <c r="D12" s="23" t="s">
        <v>14</v>
      </c>
      <c r="E12" s="23" t="s">
        <v>16</v>
      </c>
      <c r="F12" s="23" t="s">
        <v>15</v>
      </c>
      <c r="G12" s="24" t="s">
        <v>17</v>
      </c>
      <c r="H12" s="24" t="s">
        <v>19</v>
      </c>
      <c r="I12" s="24" t="s">
        <v>1</v>
      </c>
      <c r="J12" s="24" t="s">
        <v>2</v>
      </c>
      <c r="K12" s="25" t="s">
        <v>18</v>
      </c>
    </row>
    <row r="13" spans="2:11">
      <c r="B13" s="28" t="s">
        <v>29</v>
      </c>
      <c r="C13" s="29" t="s">
        <v>10</v>
      </c>
      <c r="D13" s="26"/>
      <c r="E13" s="26"/>
      <c r="F13" s="26"/>
      <c r="G13" s="26"/>
      <c r="H13" s="26" t="s">
        <v>23</v>
      </c>
      <c r="I13" s="26" t="s">
        <v>114</v>
      </c>
      <c r="J13" s="26" t="s">
        <v>116</v>
      </c>
      <c r="K13" s="27">
        <v>1</v>
      </c>
    </row>
    <row r="14" spans="2:11">
      <c r="B14" s="28" t="s">
        <v>30</v>
      </c>
      <c r="C14" s="29" t="s">
        <v>63</v>
      </c>
      <c r="D14" s="26"/>
      <c r="E14" s="26"/>
      <c r="F14" s="26"/>
      <c r="G14" s="26"/>
      <c r="H14" s="26" t="s">
        <v>104</v>
      </c>
      <c r="I14" s="26" t="s">
        <v>114</v>
      </c>
      <c r="J14" s="26" t="s">
        <v>117</v>
      </c>
      <c r="K14" s="27">
        <v>1</v>
      </c>
    </row>
    <row r="15" spans="2:11" customHeight="1" thickBot="1">
      <c r="B15" s="28" t="s">
        <v>31</v>
      </c>
      <c r="C15" s="29" t="s">
        <v>64</v>
      </c>
      <c r="D15" s="26"/>
      <c r="E15" s="26"/>
      <c r="F15" s="26"/>
      <c r="G15" s="26"/>
      <c r="H15" s="26" t="s">
        <v>105</v>
      </c>
      <c r="I15" s="26" t="s">
        <v>114</v>
      </c>
      <c r="J15" s="26" t="s">
        <v>118</v>
      </c>
      <c r="K15" s="27">
        <v>3</v>
      </c>
    </row>
    <row r="16" spans="2:11" customHeight="1" thickBot="1">
      <c r="B16" s="28" t="s">
        <v>32</v>
      </c>
      <c r="C16" s="29" t="s">
        <v>65</v>
      </c>
      <c r="D16" s="26"/>
      <c r="E16" s="26"/>
      <c r="F16" s="26"/>
      <c r="G16" s="26"/>
      <c r="H16" s="26" t="s">
        <v>106</v>
      </c>
      <c r="I16" s="26" t="s">
        <v>114</v>
      </c>
      <c r="J16" s="26" t="s">
        <v>119</v>
      </c>
      <c r="K16" s="27">
        <v>1</v>
      </c>
    </row>
    <row r="17" spans="2:11" customHeight="1" thickBot="1">
      <c r="B17" s="28" t="s">
        <v>33</v>
      </c>
      <c r="C17" s="29" t="s">
        <v>66</v>
      </c>
      <c r="D17" s="26"/>
      <c r="E17" s="26"/>
      <c r="F17" s="26"/>
      <c r="G17" s="26"/>
      <c r="H17" s="26" t="s">
        <v>106</v>
      </c>
      <c r="I17" s="26" t="s">
        <v>114</v>
      </c>
      <c r="J17" s="26" t="s">
        <v>120</v>
      </c>
      <c r="K17" s="27">
        <v>1</v>
      </c>
    </row>
    <row r="18" spans="2:11" customHeight="1" thickBot="1">
      <c r="B18" s="28" t="s">
        <v>34</v>
      </c>
      <c r="C18" s="29" t="s">
        <v>67</v>
      </c>
      <c r="D18" s="26"/>
      <c r="E18" s="26"/>
      <c r="F18" s="26"/>
      <c r="G18" s="26"/>
      <c r="H18" s="26" t="s">
        <v>107</v>
      </c>
      <c r="I18" s="26" t="s">
        <v>114</v>
      </c>
      <c r="J18" s="26" t="s">
        <v>121</v>
      </c>
      <c r="K18" s="27">
        <v>3</v>
      </c>
    </row>
    <row r="19" spans="2:11" customHeight="1" thickBot="1">
      <c r="B19" s="28" t="s">
        <v>35</v>
      </c>
      <c r="C19" s="29" t="s">
        <v>68</v>
      </c>
      <c r="D19" s="26"/>
      <c r="E19" s="26"/>
      <c r="F19" s="26"/>
      <c r="G19" s="26"/>
      <c r="H19" s="26" t="s">
        <v>104</v>
      </c>
      <c r="I19" s="26" t="s">
        <v>114</v>
      </c>
      <c r="J19" s="26" t="s">
        <v>122</v>
      </c>
      <c r="K19" s="27">
        <v>1</v>
      </c>
    </row>
    <row r="20" spans="2:11" customHeight="1" thickBot="1">
      <c r="B20" s="28" t="s">
        <v>36</v>
      </c>
      <c r="C20" s="29" t="s">
        <v>69</v>
      </c>
      <c r="D20" s="26" t="s">
        <v>7</v>
      </c>
      <c r="E20" s="26" t="s">
        <v>8</v>
      </c>
      <c r="F20" s="26" t="s">
        <v>22</v>
      </c>
      <c r="G20" s="26"/>
      <c r="H20" s="26"/>
      <c r="I20" s="26"/>
      <c r="J20" s="26"/>
      <c r="K20" s="27">
        <v>4</v>
      </c>
    </row>
    <row r="21" spans="2:11" customHeight="1" thickBot="1">
      <c r="B21" s="28" t="s">
        <v>37</v>
      </c>
      <c r="C21" s="29" t="s">
        <v>70</v>
      </c>
      <c r="D21" s="26" t="s">
        <v>85</v>
      </c>
      <c r="E21" s="26" t="s">
        <v>8</v>
      </c>
      <c r="F21" s="26" t="s">
        <v>22</v>
      </c>
      <c r="G21" s="26"/>
      <c r="H21" s="26"/>
      <c r="I21" s="26"/>
      <c r="J21" s="26"/>
      <c r="K21" s="27">
        <v>21</v>
      </c>
    </row>
    <row r="22" spans="2:11" customHeight="1" thickBot="1">
      <c r="B22" s="28" t="s">
        <v>38</v>
      </c>
      <c r="C22" s="29" t="s">
        <v>70</v>
      </c>
      <c r="D22" s="26" t="s">
        <v>86</v>
      </c>
      <c r="E22" s="26" t="s">
        <v>98</v>
      </c>
      <c r="F22" s="26" t="s">
        <v>22</v>
      </c>
      <c r="G22" s="26"/>
      <c r="H22" s="26"/>
      <c r="I22" s="26"/>
      <c r="J22" s="26"/>
      <c r="K22" s="27">
        <v>1</v>
      </c>
    </row>
    <row r="23" spans="2:11" customHeight="1" thickBot="1">
      <c r="B23" s="28" t="s">
        <v>39</v>
      </c>
      <c r="C23" s="29" t="s">
        <v>71</v>
      </c>
      <c r="D23" s="26"/>
      <c r="E23" s="26"/>
      <c r="F23" s="26"/>
      <c r="G23" s="26" t="s">
        <v>9</v>
      </c>
      <c r="H23" s="26"/>
      <c r="I23" s="26"/>
      <c r="J23" s="26"/>
      <c r="K23" s="27">
        <v>1</v>
      </c>
    </row>
    <row r="24" spans="2:11" customHeight="1" thickBot="1">
      <c r="B24" s="28" t="s">
        <v>40</v>
      </c>
      <c r="C24" s="29" t="s">
        <v>71</v>
      </c>
      <c r="D24" s="26"/>
      <c r="E24" s="26"/>
      <c r="F24" s="26"/>
      <c r="G24" s="26" t="s">
        <v>102</v>
      </c>
      <c r="H24" s="26"/>
      <c r="I24" s="26"/>
      <c r="J24" s="26"/>
      <c r="K24" s="27">
        <v>1</v>
      </c>
    </row>
    <row r="25" spans="2:11" customHeight="1" thickBot="1">
      <c r="B25" s="28" t="s">
        <v>41</v>
      </c>
      <c r="C25" s="29" t="s">
        <v>71</v>
      </c>
      <c r="D25" s="26"/>
      <c r="E25" s="26"/>
      <c r="F25" s="26"/>
      <c r="G25" s="26" t="s">
        <v>103</v>
      </c>
      <c r="H25" s="26"/>
      <c r="I25" s="26"/>
      <c r="J25" s="26"/>
      <c r="K25" s="27">
        <v>1</v>
      </c>
    </row>
    <row r="26" spans="2:11" customHeight="1" thickBot="1">
      <c r="B26" s="28" t="s">
        <v>42</v>
      </c>
      <c r="C26" s="29" t="s">
        <v>72</v>
      </c>
      <c r="D26" s="26" t="s">
        <v>87</v>
      </c>
      <c r="E26" s="26"/>
      <c r="F26" s="26" t="s">
        <v>100</v>
      </c>
      <c r="G26" s="26"/>
      <c r="H26" s="26"/>
      <c r="I26" s="26"/>
      <c r="J26" s="26"/>
      <c r="K26" s="27">
        <v>9</v>
      </c>
    </row>
    <row r="27" spans="2:11" customHeight="1" thickBot="1">
      <c r="B27" s="28" t="s">
        <v>43</v>
      </c>
      <c r="C27" s="29" t="s">
        <v>72</v>
      </c>
      <c r="D27" s="26" t="s">
        <v>88</v>
      </c>
      <c r="E27" s="26"/>
      <c r="F27" s="26" t="s">
        <v>101</v>
      </c>
      <c r="G27" s="26"/>
      <c r="H27" s="26"/>
      <c r="I27" s="26"/>
      <c r="J27" s="26"/>
      <c r="K27" s="27">
        <v>3</v>
      </c>
    </row>
    <row r="28" spans="2:11" customHeight="1" thickBot="1">
      <c r="B28" s="28" t="s">
        <v>44</v>
      </c>
      <c r="C28" s="29" t="s">
        <v>72</v>
      </c>
      <c r="D28" s="26" t="s">
        <v>89</v>
      </c>
      <c r="E28" s="26"/>
      <c r="F28" s="26" t="s">
        <v>100</v>
      </c>
      <c r="G28" s="26"/>
      <c r="H28" s="26"/>
      <c r="I28" s="26"/>
      <c r="J28" s="26"/>
      <c r="K28" s="27">
        <v>1</v>
      </c>
    </row>
    <row r="29" spans="2:11" customHeight="1" thickBot="1">
      <c r="B29" s="28" t="s">
        <v>45</v>
      </c>
      <c r="C29" s="29" t="s">
        <v>72</v>
      </c>
      <c r="D29" s="26" t="s">
        <v>90</v>
      </c>
      <c r="E29" s="26"/>
      <c r="F29" s="26" t="s">
        <v>101</v>
      </c>
      <c r="G29" s="26"/>
      <c r="H29" s="26"/>
      <c r="I29" s="26"/>
      <c r="J29" s="26"/>
      <c r="K29" s="27">
        <v>2</v>
      </c>
    </row>
    <row r="30" spans="2:11" customHeight="1" thickBot="1">
      <c r="B30" s="28" t="s">
        <v>46</v>
      </c>
      <c r="C30" s="29" t="s">
        <v>72</v>
      </c>
      <c r="D30" s="26" t="s">
        <v>91</v>
      </c>
      <c r="E30" s="26"/>
      <c r="F30" s="26" t="s">
        <v>101</v>
      </c>
      <c r="G30" s="26"/>
      <c r="H30" s="26"/>
      <c r="I30" s="26"/>
      <c r="J30" s="26"/>
      <c r="K30" s="27">
        <v>3</v>
      </c>
    </row>
    <row r="31" spans="2:11" customHeight="1" thickBot="1">
      <c r="B31" s="28" t="s">
        <v>47</v>
      </c>
      <c r="C31" s="29" t="s">
        <v>72</v>
      </c>
      <c r="D31" s="26" t="s">
        <v>92</v>
      </c>
      <c r="E31" s="26"/>
      <c r="F31" s="26" t="s">
        <v>100</v>
      </c>
      <c r="G31" s="26"/>
      <c r="H31" s="26"/>
      <c r="I31" s="26"/>
      <c r="J31" s="26"/>
      <c r="K31" s="27">
        <v>3</v>
      </c>
    </row>
    <row r="32" spans="2:11" customHeight="1" thickBot="1">
      <c r="B32" s="28" t="s">
        <v>48</v>
      </c>
      <c r="C32" s="29" t="s">
        <v>73</v>
      </c>
      <c r="D32" s="26" t="s">
        <v>93</v>
      </c>
      <c r="E32" s="26"/>
      <c r="F32" s="26" t="s">
        <v>100</v>
      </c>
      <c r="G32" s="26"/>
      <c r="H32" s="26"/>
      <c r="I32" s="26"/>
      <c r="J32" s="26"/>
      <c r="K32" s="27">
        <v>3</v>
      </c>
    </row>
    <row r="33" spans="2:11" customHeight="1" thickBot="1">
      <c r="B33" s="28" t="s">
        <v>49</v>
      </c>
      <c r="C33" s="29" t="s">
        <v>72</v>
      </c>
      <c r="D33" s="26" t="s">
        <v>94</v>
      </c>
      <c r="E33" s="26"/>
      <c r="F33" s="26" t="s">
        <v>101</v>
      </c>
      <c r="G33" s="26"/>
      <c r="H33" s="26"/>
      <c r="I33" s="26"/>
      <c r="J33" s="26"/>
      <c r="K33" s="27">
        <v>1</v>
      </c>
    </row>
    <row r="34" spans="2:11" customHeight="1" thickBot="1">
      <c r="B34" s="28" t="s">
        <v>50</v>
      </c>
      <c r="C34" s="29" t="s">
        <v>72</v>
      </c>
      <c r="D34" s="26" t="s">
        <v>95</v>
      </c>
      <c r="E34" s="26"/>
      <c r="F34" s="26" t="s">
        <v>100</v>
      </c>
      <c r="G34" s="26"/>
      <c r="H34" s="26"/>
      <c r="I34" s="26"/>
      <c r="J34" s="26"/>
      <c r="K34" s="27">
        <v>5</v>
      </c>
    </row>
    <row r="35" spans="2:11" customHeight="1" thickBot="1">
      <c r="B35" s="28" t="s">
        <v>51</v>
      </c>
      <c r="C35" s="29" t="s">
        <v>72</v>
      </c>
      <c r="D35" s="26" t="s">
        <v>96</v>
      </c>
      <c r="E35" s="26"/>
      <c r="F35" s="26" t="s">
        <v>101</v>
      </c>
      <c r="G35" s="26"/>
      <c r="H35" s="26"/>
      <c r="I35" s="26"/>
      <c r="J35" s="26"/>
      <c r="K35" s="27">
        <v>1</v>
      </c>
    </row>
    <row r="36" spans="2:11" customHeight="1" thickBot="1">
      <c r="B36" s="28" t="s">
        <v>52</v>
      </c>
      <c r="C36" s="29" t="s">
        <v>74</v>
      </c>
      <c r="D36" s="26"/>
      <c r="E36" s="26"/>
      <c r="F36" s="26"/>
      <c r="G36" s="26"/>
      <c r="H36" s="26" t="s">
        <v>108</v>
      </c>
      <c r="I36" s="26" t="s">
        <v>114</v>
      </c>
      <c r="J36" s="26" t="s">
        <v>123</v>
      </c>
      <c r="K36" s="27">
        <v>2</v>
      </c>
    </row>
    <row r="37" spans="2:11" customHeight="1" thickBot="1">
      <c r="B37" s="28" t="s">
        <v>53</v>
      </c>
      <c r="C37" s="29" t="s">
        <v>75</v>
      </c>
      <c r="D37" s="26"/>
      <c r="E37" s="26"/>
      <c r="F37" s="26"/>
      <c r="G37" s="26"/>
      <c r="H37" s="26" t="s">
        <v>108</v>
      </c>
      <c r="I37" s="26" t="s">
        <v>114</v>
      </c>
      <c r="J37" s="26" t="s">
        <v>124</v>
      </c>
      <c r="K37" s="27">
        <v>2</v>
      </c>
    </row>
    <row r="38" spans="2:11" customHeight="1" thickBot="1">
      <c r="B38" s="28" t="s">
        <v>54</v>
      </c>
      <c r="C38" s="29" t="s">
        <v>76</v>
      </c>
      <c r="D38" s="26"/>
      <c r="E38" s="26" t="s">
        <v>99</v>
      </c>
      <c r="F38" s="26"/>
      <c r="G38" s="26"/>
      <c r="H38" s="26" t="s">
        <v>109</v>
      </c>
      <c r="I38" s="26" t="s">
        <v>114</v>
      </c>
      <c r="J38" s="26" t="s">
        <v>125</v>
      </c>
      <c r="K38" s="27">
        <v>1</v>
      </c>
    </row>
    <row r="39" spans="2:11" customHeight="1" thickBot="1">
      <c r="B39" s="28" t="s">
        <v>55</v>
      </c>
      <c r="C39" s="29" t="s">
        <v>77</v>
      </c>
      <c r="D39" s="26" t="s">
        <v>90</v>
      </c>
      <c r="E39" s="26"/>
      <c r="F39" s="26"/>
      <c r="G39" s="26"/>
      <c r="H39" s="26" t="s">
        <v>110</v>
      </c>
      <c r="I39" s="26" t="s">
        <v>114</v>
      </c>
      <c r="J39" s="26" t="s">
        <v>126</v>
      </c>
      <c r="K39" s="27">
        <v>1</v>
      </c>
    </row>
    <row r="40" spans="2:11" customHeight="1" thickBot="1">
      <c r="B40" s="28" t="s">
        <v>56</v>
      </c>
      <c r="C40" s="29" t="s">
        <v>78</v>
      </c>
      <c r="D40" s="26"/>
      <c r="E40" s="26"/>
      <c r="F40" s="26"/>
      <c r="G40" s="26"/>
      <c r="H40" s="26" t="s">
        <v>111</v>
      </c>
      <c r="I40" s="26" t="s">
        <v>114</v>
      </c>
      <c r="J40" s="26" t="s">
        <v>127</v>
      </c>
      <c r="K40" s="27">
        <v>1</v>
      </c>
    </row>
    <row r="41" spans="2:11" customHeight="1" thickBot="1">
      <c r="B41" s="28" t="s">
        <v>57</v>
      </c>
      <c r="C41" s="29" t="s">
        <v>79</v>
      </c>
      <c r="D41" s="26"/>
      <c r="E41" s="26"/>
      <c r="F41" s="26"/>
      <c r="G41" s="26"/>
      <c r="H41" s="26" t="s">
        <v>105</v>
      </c>
      <c r="I41" s="26" t="s">
        <v>114</v>
      </c>
      <c r="J41" s="26" t="s">
        <v>128</v>
      </c>
      <c r="K41" s="27">
        <v>1</v>
      </c>
    </row>
    <row r="42" spans="2:11" customHeight="1" thickBot="1">
      <c r="B42" s="28" t="s">
        <v>58</v>
      </c>
      <c r="C42" s="29" t="s">
        <v>80</v>
      </c>
      <c r="D42" s="26"/>
      <c r="E42" s="26"/>
      <c r="F42" s="26"/>
      <c r="G42" s="26"/>
      <c r="H42" s="26" t="s">
        <v>109</v>
      </c>
      <c r="I42" s="26" t="s">
        <v>114</v>
      </c>
      <c r="J42" s="26" t="s">
        <v>129</v>
      </c>
      <c r="K42" s="27">
        <v>1</v>
      </c>
    </row>
    <row r="43" spans="2:11" customHeight="1" thickBot="1">
      <c r="B43" s="28" t="s">
        <v>59</v>
      </c>
      <c r="C43" s="29" t="s">
        <v>81</v>
      </c>
      <c r="D43" s="26" t="s">
        <v>97</v>
      </c>
      <c r="E43" s="26"/>
      <c r="F43" s="26" t="s">
        <v>100</v>
      </c>
      <c r="G43" s="26"/>
      <c r="H43" s="26" t="s">
        <v>112</v>
      </c>
      <c r="I43" s="26" t="s">
        <v>114</v>
      </c>
      <c r="J43" s="26" t="s">
        <v>130</v>
      </c>
      <c r="K43" s="27">
        <v>1</v>
      </c>
    </row>
    <row r="44" spans="2:11" customHeight="1" thickBot="1">
      <c r="B44" s="28" t="s">
        <v>60</v>
      </c>
      <c r="C44" s="29" t="s">
        <v>82</v>
      </c>
      <c r="D44" s="26"/>
      <c r="E44" s="26"/>
      <c r="F44" s="26"/>
      <c r="G44" s="26"/>
      <c r="H44" s="26" t="s">
        <v>106</v>
      </c>
      <c r="I44" s="26" t="s">
        <v>114</v>
      </c>
      <c r="J44" s="26" t="s">
        <v>131</v>
      </c>
      <c r="K44" s="27">
        <v>4</v>
      </c>
    </row>
    <row r="45" spans="2:11" customHeight="1" thickBot="1">
      <c r="B45" s="28" t="s">
        <v>61</v>
      </c>
      <c r="C45" s="29" t="s">
        <v>83</v>
      </c>
      <c r="D45" s="26"/>
      <c r="E45" s="26"/>
      <c r="F45" s="26"/>
      <c r="G45" s="26"/>
      <c r="H45" s="26" t="s">
        <v>106</v>
      </c>
      <c r="I45" s="26" t="s">
        <v>114</v>
      </c>
      <c r="J45" s="26" t="s">
        <v>132</v>
      </c>
      <c r="K45" s="27">
        <v>1</v>
      </c>
    </row>
    <row r="46" spans="2:11" customHeight="1" thickBot="1">
      <c r="B46" s="28" t="s">
        <v>62</v>
      </c>
      <c r="C46" s="29" t="s">
        <v>84</v>
      </c>
      <c r="D46" s="26"/>
      <c r="E46" s="26"/>
      <c r="F46" s="26"/>
      <c r="G46" s="26"/>
      <c r="H46" s="26" t="s">
        <v>113</v>
      </c>
      <c r="I46" s="26" t="s">
        <v>115</v>
      </c>
      <c r="J46" s="26" t="s">
        <v>62</v>
      </c>
      <c r="K46" s="27">
        <v>1</v>
      </c>
    </row>
    <row r="47" spans="2:11">
      <c r="B47" s="10"/>
      <c r="C47" s="1"/>
      <c r="D47" s="1"/>
      <c r="E47" s="1"/>
      <c r="F47" s="1"/>
      <c r="G47" s="1"/>
      <c r="H47" s="11"/>
      <c r="I47" s="11"/>
      <c r="J47" s="12"/>
      <c r="K47" s="21" t="s">
        <v>5</v>
      </c>
    </row>
    <row r="48" spans="2:11" ht="15.75" thickBot="1">
      <c r="B48" s="8"/>
      <c r="C48" s="3"/>
      <c r="D48" s="3"/>
      <c r="E48" s="3"/>
      <c r="F48" s="3"/>
      <c r="G48" s="3"/>
      <c r="H48" s="4"/>
      <c r="I48" s="4"/>
      <c r="J48" s="9"/>
      <c r="K48" s="20">
        <f>SUM(K13:K46)</f>
        <v>87</v>
      </c>
    </row>
    <row r="49" spans="2:9">
      <c r="B49"/>
      <c r="C49"/>
      <c r="D49"/>
      <c r="E49"/>
      <c r="F49"/>
      <c r="G49"/>
      <c r="H49"/>
      <c r="I49"/>
    </row>
    <row r="50" spans="2:9">
      <c r="B50"/>
      <c r="C50"/>
      <c r="D50"/>
      <c r="E50"/>
      <c r="F50"/>
      <c r="G50"/>
      <c r="H50"/>
      <c r="I50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2026-06-18T12:34:46Z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