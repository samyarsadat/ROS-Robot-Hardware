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8623"/>
  <workbookPr codeName="ThisWorkbook"/>
  <bookViews>
    <workbookView xmlns:d3p1="http://schemas.microsoft.com/office/spreadsheetml/2015/revision2" xWindow="-120" yWindow="-120" windowWidth="38640" windowHeight="21120" d3p1:uid="{00000000-000D-0000-FFFF-FFFF00000000}"/>
  </bookViews>
  <sheets>
    <sheet name="Sheet1" sheetId="1" r:id="rId1"/>
  </sheets>
  <calcPr fullPrecision="1" calcMode="auto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<sst xmlns="http://schemas.openxmlformats.org/spreadsheetml/2006/main" uniqueCount="150">
  <si>
    <t>Project File Name:</t>
  </si>
  <si>
    <t>Supplier 1</t>
  </si>
  <si>
    <t>Supplier Part Number 1</t>
  </si>
  <si>
    <t>Supplier Unit Price 1</t>
  </si>
  <si>
    <t>Manufacturer 1</t>
  </si>
  <si>
    <t>Manufacturer Part Number 1</t>
  </si>
  <si>
    <t>Part Number</t>
  </si>
  <si>
    <t>Description</t>
  </si>
  <si>
    <t>Manufacture</t>
  </si>
  <si>
    <t>Supplier</t>
  </si>
  <si>
    <t>Supplier Part Number</t>
  </si>
  <si>
    <t>Supplier Unit Price</t>
  </si>
  <si>
    <t>Quantity</t>
  </si>
  <si>
    <t>Manufacture Part Number</t>
  </si>
  <si>
    <t>Main Project:</t>
  </si>
  <si>
    <t xml:space="preserve">Author: </t>
  </si>
  <si>
    <t>No. Of Parts</t>
  </si>
  <si>
    <t>Value</t>
  </si>
  <si>
    <t>Voltage</t>
  </si>
  <si>
    <t>Color</t>
  </si>
  <si>
    <t xml:space="preserve">Date Exported: </t>
  </si>
  <si>
    <t>Total Unit Cost</t>
  </si>
  <si>
    <t>6.3V, 25V</t>
  </si>
  <si>
    <t>6.3V</t>
  </si>
  <si>
    <t>Green, Amber, Blue</t>
  </si>
  <si>
    <t>Name</t>
  </si>
  <si>
    <t>100nF</t>
  </si>
  <si>
    <t>Generic Ceramic Capacitor</t>
  </si>
  <si>
    <t>The ROS Robot Project</t>
  </si>
  <si>
    <t>Sensors_IO_Board.PrjPcb</t>
  </si>
  <si>
    <t>1/31/2026</t>
  </si>
  <si>
    <t>Samyar Sadat Akhavi</t>
  </si>
  <si>
    <t>DesignItemId</t>
  </si>
  <si>
    <t>Non-polar Capacitor</t>
  </si>
  <si>
    <t>CL21A106KOQNNNE</t>
  </si>
  <si>
    <t>865080142007</t>
  </si>
  <si>
    <t>865080343009</t>
  </si>
  <si>
    <t>865080443007</t>
  </si>
  <si>
    <t>LED</t>
  </si>
  <si>
    <t>BAS416,115</t>
  </si>
  <si>
    <t>MBR230LSFT1G</t>
  </si>
  <si>
    <t>SF-1206F100-2</t>
  </si>
  <si>
    <t>SF-1206F200-2</t>
  </si>
  <si>
    <t>RP2350B</t>
  </si>
  <si>
    <t>W25Q64JVZPIQ</t>
  </si>
  <si>
    <t>ADS1115IDGSR</t>
  </si>
  <si>
    <t>EMC2303-1-KP-TR</t>
  </si>
  <si>
    <t>DMP2045UQ-7</t>
  </si>
  <si>
    <t>TPS22810DRVR</t>
  </si>
  <si>
    <t>MCP1401T-E/OT</t>
  </si>
  <si>
    <t>DMP3099L-7</t>
  </si>
  <si>
    <t>TPS92612DBVR</t>
  </si>
  <si>
    <t>IRLML6344TRPBF</t>
  </si>
  <si>
    <t>B4B-XH-A(LF)(SN)</t>
  </si>
  <si>
    <t>BM03B-SRSS-TB(LF)(SN)</t>
  </si>
  <si>
    <t>43045-0412</t>
  </si>
  <si>
    <t>B2B-XH-A(LF)(SN)</t>
  </si>
  <si>
    <t>B6B-XH-A(LF)(SN)</t>
  </si>
  <si>
    <t>BM06B-SRSS-TB(LF)(SN)</t>
  </si>
  <si>
    <t>BM07B-SRSS-TB(LF)(SN)</t>
  </si>
  <si>
    <t>BM05B-SRSS-TB(LF)(SN)</t>
  </si>
  <si>
    <t>0470531000</t>
  </si>
  <si>
    <t>B3B-XH-A(LF)(SN)</t>
  </si>
  <si>
    <t>AOTA-B201610S3R3-101-T</t>
  </si>
  <si>
    <t>SRN6045TA-680M</t>
  </si>
  <si>
    <t>Resistor</t>
  </si>
  <si>
    <t>TLRP3A20CR007FTE</t>
  </si>
  <si>
    <t>PTS815_SJK_250_SMTR_LFS</t>
  </si>
  <si>
    <t>450404015514</t>
  </si>
  <si>
    <t>INA236AIDDFR</t>
  </si>
  <si>
    <t>ABM8-272-T3</t>
  </si>
  <si>
    <t>10uF</t>
  </si>
  <si>
    <t>470nF</t>
  </si>
  <si>
    <t>15pF</t>
  </si>
  <si>
    <t>100uF</t>
  </si>
  <si>
    <t>1uF</t>
  </si>
  <si>
    <t>4.7nF</t>
  </si>
  <si>
    <t>47 µF</t>
  </si>
  <si>
    <t>2.2uF</t>
  </si>
  <si>
    <t>3.3uH</t>
  </si>
  <si>
    <t>220R</t>
  </si>
  <si>
    <t>1k</t>
  </si>
  <si>
    <t>10k</t>
  </si>
  <si>
    <t>27R</t>
  </si>
  <si>
    <t>33R</t>
  </si>
  <si>
    <t>100R</t>
  </si>
  <si>
    <t>25.5k</t>
  </si>
  <si>
    <t>1.76k</t>
  </si>
  <si>
    <t>330R</t>
  </si>
  <si>
    <t>33k</t>
  </si>
  <si>
    <t>22k</t>
  </si>
  <si>
    <t>4.7k</t>
  </si>
  <si>
    <t>20k</t>
  </si>
  <si>
    <t>7 mOhms</t>
  </si>
  <si>
    <t>6.8k</t>
  </si>
  <si>
    <t>2.49R</t>
  </si>
  <si>
    <t>CAP CER 10UF 16V X5R 0805</t>
  </si>
  <si>
    <t>CAP ALUM 100UF 20% 6.3V SMD</t>
  </si>
  <si>
    <t>CAP ALUM 100UF 20% 16V SMD</t>
  </si>
  <si>
    <t>CAP ALUM 47UF 20% 25V SMD</t>
  </si>
  <si>
    <t>Indicator LED</t>
  </si>
  <si>
    <t>DIODE STANDARD 75V 200MA SOD323</t>
  </si>
  <si>
    <t>DIODE SCHOTTKY 30V 2A SOD123L</t>
  </si>
  <si>
    <t>FUSE BOARD MOUNT 1A 63VDC 1206</t>
  </si>
  <si>
    <t>FUSE BOARD MOUNT 2A 63VDC 1206</t>
  </si>
  <si>
    <t>Integrated Circuit</t>
  </si>
  <si>
    <t>MOSFET P-CH 20V 4.3A SOT23</t>
  </si>
  <si>
    <t>IC GATE DRVR LOW-SIDE SOT23-5</t>
  </si>
  <si>
    <t>MOSFET P-CH 30V 3.8A SOT23</t>
  </si>
  <si>
    <t>MOSFET N-CH 30V 5A MICRO3/SOT23</t>
  </si>
  <si>
    <t>CONN HEADER VERT 4POS 2.5MM</t>
  </si>
  <si>
    <t>CONN HEADER SMD 3POS 1MM</t>
  </si>
  <si>
    <t>Connector</t>
  </si>
  <si>
    <t>CONN HEADER VERT 2POS 2.5MM</t>
  </si>
  <si>
    <t>CONN HEADER VERT 6POS 2.5MM</t>
  </si>
  <si>
    <t>CONN HEADER SMD 6POS 1MM</t>
  </si>
  <si>
    <t>CONN HEADER SMD 7POS 1MM</t>
  </si>
  <si>
    <t>CONN HEADER SMD 5POS 1MM</t>
  </si>
  <si>
    <t>CONN HEADER VERT 3POS 2.5MM</t>
  </si>
  <si>
    <t>Inductor</t>
  </si>
  <si>
    <t>Generic Resistor</t>
  </si>
  <si>
    <t>RES 0.007 OHM 1% 2W 2512</t>
  </si>
  <si>
    <t>Switch</t>
  </si>
  <si>
    <t>MINI SLIDE SWITCH 6.7 X 2.7 MM.</t>
  </si>
  <si>
    <t>48-V, 16-bit ultraprecise IÂ²C output digital power monitor with alert in WCSP 8-SOT-23-THIN -40 to 125</t>
  </si>
  <si>
    <t>Crystal or Oscillator</t>
  </si>
  <si>
    <t>16, 16V, 6.3V</t>
  </si>
  <si>
    <t>DigiKey</t>
  </si>
  <si>
    <t>1276-1096-1-ND</t>
  </si>
  <si>
    <t>732-8472-1-ND</t>
  </si>
  <si>
    <t>732-8419-1-ND</t>
  </si>
  <si>
    <t>732-8435-1-ND</t>
  </si>
  <si>
    <t>1727-4807-1-ND</t>
  </si>
  <si>
    <t>MBR230LSFT1GOSCT-ND</t>
  </si>
  <si>
    <t>SF-1206F100-2CT-ND</t>
  </si>
  <si>
    <t>SF-1206F200-2CT-ND</t>
  </si>
  <si>
    <t>31-DMP2045UQ-7CT-ND</t>
  </si>
  <si>
    <t>MCP1401T-E/OTCT-ND</t>
  </si>
  <si>
    <t>DMP3099L-7DICT-ND</t>
  </si>
  <si>
    <t>IRLML6344TRPBFCT-ND</t>
  </si>
  <si>
    <t>455-2249-ND</t>
  </si>
  <si>
    <t>455-1789-1-ND</t>
  </si>
  <si>
    <t>455-2247-ND</t>
  </si>
  <si>
    <t>455-2271-ND</t>
  </si>
  <si>
    <t>455-1792-1-ND</t>
  </si>
  <si>
    <t>455-1793-1-ND</t>
  </si>
  <si>
    <t>455-1791-1-ND</t>
  </si>
  <si>
    <t>455-2248-ND</t>
  </si>
  <si>
    <t>1712-TLRP3A20CR007FTECT-ND</t>
  </si>
  <si>
    <t>732-13665-1-ND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</si>
</sst>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&quot;$&quot;#,##0.00"/>
  </numFmts>
  <fonts count="11">
    <font>
      <sz val="11"/>
      <name val="Calibri"/>
      <charset val="0"/>
      <color theme="1"/>
      <scheme val="minor"/>
    </font>
    <font>
      <sz val="10"/>
      <name val="Arial"/>
      <charset val="0"/>
      <color theme="1"/>
    </font>
    <font>
      <b/>
      <sz val="24"/>
      <name val="Arial"/>
      <charset val="0"/>
      <color theme="1"/>
    </font>
    <font>
      <b/>
      <sz val="11"/>
      <name val="Calibri"/>
      <charset val="0"/>
      <color theme="1"/>
      <scheme val="minor"/>
    </font>
    <font>
      <sz val="11"/>
      <name val="Calibri"/>
      <charset val="0"/>
      <color theme="1"/>
      <scheme val="minor"/>
    </font>
    <font>
      <sz val="9"/>
      <name val="Calibri"/>
      <charset val="0"/>
      <color theme="1"/>
      <scheme val="minor"/>
    </font>
    <font>
      <sz val="24"/>
      <name val="Cambria"/>
      <charset val="0"/>
      <color theme="1"/>
      <scheme val="major"/>
    </font>
    <font>
      <i/>
      <sz val="11"/>
      <name val="Calibri"/>
      <charset val="0"/>
      <color theme="1"/>
      <scheme val="minor"/>
    </font>
    <font>
      <b/>
      <sz val="28"/>
      <name val="Arial"/>
      <charset val="0"/>
      <color theme="1"/>
    </font>
    <font>
      <u val="single"/>
      <sz val="11"/>
      <name val="Calibri"/>
      <charset val="0"/>
      <color theme="1"/>
    </font>
    <font>
      <u val="single"/>
      <sz val="11"/>
      <name val="Calibri"/>
      <charset val="0"/>
      <color indexed="12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5999633777886288"/>
        <bgColor indexed="64"/>
      </patternFill>
    </fill>
    <fill>
      <patternFill patternType="none">
        <fgColor indexed="64"/>
        <bgColor indexed="65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xxid="0" numFmtId="0" fontId="0" fillId="0" borderId="0"/>
    <xf xxid="1" numFmtId="0" fontId="1" fillId="0" borderId="0"/>
    <xf xxid="2" numFmtId="0" fontId="0" fillId="2" borderId="0" applyAlignment="0" applyNumberFormat="0" applyProtection="0"/>
    <xf xxid="50" numFmtId="0" fontId="10" fillId="4" borderId="0" applyAlignment="0"/>
  </cellStyleXfs>
  <cellXfs>
    <xf xxid="3" numFmtId="0" fontId="0" fillId="0" borderId="0" xfId="0" applyAlignment="1" applyBorder="1" applyFont="1" applyNumberFormat="1" applyFill="1" applyProtection="1"/>
    <xf xxid="4" numFmtId="0" fontId="0" fillId="0" borderId="1" xfId="0" applyAlignment="1" applyBorder="1" applyFont="1" applyNumberFormat="1" applyFill="1" applyProtection="1"/>
    <xf xxid="5" numFmtId="0" fontId="0" fillId="0" borderId="2" xfId="0" applyAlignment="1" applyBorder="1" applyFont="1" applyNumberFormat="1" applyFill="1" applyProtection="1"/>
    <xf xxid="6" numFmtId="0" fontId="0" fillId="0" borderId="3" xfId="0" applyAlignment="1" applyBorder="1" applyFont="1" applyNumberFormat="1" applyFill="1" applyProtection="1"/>
    <xf xxid="7" numFmtId="0" fontId="5" fillId="0" borderId="3" xfId="0" applyAlignment="1" applyBorder="1" applyFont="1" applyNumberFormat="1" applyFill="1" applyProtection="1"/>
    <xf xxid="8" numFmtId="0" fontId="0" fillId="0" borderId="4" xfId="0" applyAlignment="1" applyBorder="1" applyFont="1" applyNumberFormat="1" applyFill="1" applyProtection="1"/>
    <xf xxid="9" numFmtId="0" fontId="2" fillId="0" borderId="1" xfId="1" applyAlignment="1" applyBorder="1" applyFont="1" applyNumberFormat="1" applyFill="1" applyProtection="1">
      <alignment vertical="center"/>
    </xf>
    <xf xxid="10" numFmtId="0" fontId="3" fillId="0" borderId="0" xfId="0" applyAlignment="1" applyBorder="1" applyFont="1" applyNumberFormat="1" applyFill="1" applyProtection="1">
      <alignment horizontal="right"/>
    </xf>
    <xf xxid="11" numFmtId="0" fontId="6" fillId="0" borderId="5" xfId="0" applyAlignment="1" applyBorder="1" applyFont="1" applyNumberFormat="1" applyFill="1" applyProtection="1"/>
    <xf xxid="12" numFmtId="0" fontId="0" fillId="0" borderId="6" xfId="0" applyAlignment="1" applyBorder="1" applyFont="1" applyNumberFormat="1" applyFill="1" applyProtection="1"/>
    <xf xxid="13" numFmtId="0" fontId="5" fillId="0" borderId="7" xfId="0" applyAlignment="1" applyBorder="1" applyFont="1" applyNumberFormat="1" applyFill="1" applyProtection="1"/>
    <xf xxid="14" numFmtId="0" fontId="0" fillId="0" borderId="5" xfId="0" applyAlignment="1" applyBorder="1" applyFont="1" applyNumberFormat="1" applyFill="1" applyProtection="1"/>
    <xf xxid="15" numFmtId="0" fontId="5" fillId="0" borderId="1" xfId="0" applyAlignment="1" applyBorder="1" applyFont="1" applyNumberFormat="1" applyFill="1" applyProtection="1"/>
    <xf xxid="16" numFmtId="0" fontId="5" fillId="0" borderId="8" xfId="0" applyAlignment="1" applyBorder="1" applyFont="1" applyNumberFormat="1" applyFill="1" applyProtection="1"/>
    <xf xxid="17" numFmtId="0" fontId="7" fillId="0" borderId="9" xfId="0" applyAlignment="1" applyBorder="1" applyFont="1" applyNumberFormat="1" applyFill="1" applyProtection="1"/>
    <xf xxid="18" numFmtId="0" fontId="7" fillId="0" borderId="10" xfId="0" applyAlignment="1" applyBorder="1" applyFont="1" applyNumberFormat="1" applyFill="1" applyProtection="1"/>
    <xf xxid="19" numFmtId="0" fontId="0" fillId="0" borderId="11" xfId="0" applyAlignment="1" applyBorder="1" applyFont="1" applyNumberFormat="1" applyFill="1" applyProtection="1"/>
    <xf xxid="20" numFmtId="0" fontId="0" fillId="2" borderId="12" xfId="2" applyAlignment="1" applyBorder="1" applyFont="1" applyNumberFormat="1" applyFill="1" applyProtection="1">
      <alignment horizontal="center" vertical="center"/>
    </xf>
    <xf xxid="21" numFmtId="0" fontId="0" fillId="3" borderId="13" xfId="0" applyAlignment="1" applyBorder="1" applyFont="1" applyNumberFormat="1" applyFill="1" applyProtection="1">
      <alignment horizontal="center" vertical="center"/>
    </xf>
    <xf xxid="22" numFmtId="0" fontId="0" fillId="3" borderId="14" xfId="0" applyAlignment="1" applyBorder="1" applyFont="1" applyNumberFormat="1" applyFill="1" applyProtection="1">
      <alignment horizontal="center" vertical="center"/>
    </xf>
    <xf xxid="23" numFmtId="0" fontId="0" fillId="3" borderId="12" xfId="0" applyAlignment="1" applyBorder="1" applyFont="1" applyNumberFormat="1" applyFill="1" applyProtection="1">
      <alignment horizontal="center" vertical="center"/>
    </xf>
    <xf xxid="24" numFmtId="0" fontId="0" fillId="3" borderId="15" xfId="0" applyAlignment="1" applyBorder="1" applyFont="1" applyNumberFormat="1" applyFill="1" applyProtection="1">
      <alignment horizontal="center" vertical="center"/>
    </xf>
    <xf xxid="25" numFmtId="164" fontId="0" fillId="0" borderId="16" xfId="0" applyAlignment="1" applyBorder="1" applyFont="1" applyNumberFormat="1" applyFill="1" applyProtection="1">
      <alignment horizontal="center" vertical="center"/>
    </xf>
    <xf xxid="26" numFmtId="0" fontId="0" fillId="0" borderId="17" xfId="0" applyAlignment="1" applyBorder="1" applyFont="1" applyNumberFormat="1" applyFill="1" applyProtection="1">
      <alignment horizontal="center" vertical="center"/>
    </xf>
    <xf xxid="27" numFmtId="164" fontId="3" fillId="2" borderId="18" xfId="2" applyAlignment="1" applyBorder="1" applyFont="1" applyNumberFormat="1" applyFill="1" applyProtection="1">
      <alignment horizontal="center" vertical="center"/>
    </xf>
    <xf xxid="28" numFmtId="0" fontId="3" fillId="2" borderId="19" xfId="2" applyAlignment="1" applyBorder="1" applyFont="1" applyNumberFormat="1" applyFill="1" applyProtection="1">
      <alignment horizontal="center" vertical="center"/>
    </xf>
    <xf xxid="29" numFmtId="0" fontId="0" fillId="3" borderId="13" xfId="0" applyAlignment="1" applyBorder="1" applyFont="1" applyNumberFormat="1" applyFill="1" applyProtection="1">
      <alignment wrapText="1"/>
    </xf>
    <xf xxid="30" numFmtId="0" fontId="0" fillId="3" borderId="14" xfId="0" applyAlignment="1" applyBorder="1" applyFont="1" applyNumberFormat="1" applyFill="1" applyProtection="1">
      <alignment wrapText="1"/>
    </xf>
    <xf xxid="31" numFmtId="0" fontId="0" fillId="2" borderId="0" xfId="2" applyAlignment="1" applyBorder="1" applyFont="1" applyNumberFormat="1" applyFill="1" applyProtection="1">
      <alignment wrapText="1"/>
    </xf>
    <xf xxid="32" numFmtId="0" fontId="0" fillId="3" borderId="12" xfId="0" applyAlignment="1" applyBorder="1" applyFont="1" applyNumberFormat="1" applyFill="1" applyProtection="1">
      <alignment wrapText="1"/>
    </xf>
    <xf xxid="33" numFmtId="0" fontId="0" fillId="3" borderId="15" xfId="0" applyAlignment="1" applyBorder="1" applyFont="1" applyNumberFormat="1" applyFill="1" applyProtection="1">
      <alignment wrapText="1"/>
    </xf>
    <xf xxid="34" numFmtId="0" fontId="0" fillId="0" borderId="12" xfId="0" applyAlignment="1" applyBorder="1" applyFont="1" applyNumberFormat="1" applyFill="1" applyProtection="1">
      <alignment vertical="center"/>
    </xf>
    <xf xxid="35" numFmtId="164" fontId="0" fillId="0" borderId="12" xfId="0" applyAlignment="1" applyBorder="1" applyFont="1" applyNumberFormat="1" applyFill="1" applyProtection="1">
      <alignment vertical="center"/>
    </xf>
    <xf xxid="36" numFmtId="0" fontId="0" fillId="0" borderId="15" xfId="0" applyAlignment="1" applyBorder="1" applyFont="1" applyNumberFormat="1" applyFill="1" applyProtection="1">
      <alignment vertical="center"/>
    </xf>
    <xf xxid="37" numFmtId="0" fontId="0" fillId="0" borderId="12" xfId="0" applyAlignment="1" applyBorder="1" applyFont="1" applyNumberFormat="1" applyFill="1" applyProtection="1"/>
    <xf xxid="38" numFmtId="0" fontId="0" fillId="0" borderId="15" xfId="0" applyAlignment="1" applyBorder="1" applyFont="1" applyNumberFormat="1" applyFill="1" applyProtection="1"/>
    <xf xxid="39" numFmtId="0" fontId="0" fillId="0" borderId="20" xfId="0" applyAlignment="1" applyBorder="1" applyFont="1" applyNumberFormat="1" applyFill="1" applyProtection="1"/>
    <xf xxid="40" numFmtId="0" fontId="0" fillId="0" borderId="21" xfId="0" applyAlignment="1" applyBorder="1" applyFont="1" applyNumberFormat="1" applyFill="1" applyProtection="1"/>
    <xf xxid="41" numFmtId="0" fontId="7" fillId="0" borderId="13" xfId="0" applyAlignment="1" applyBorder="1" applyFont="1" applyNumberFormat="1" applyFill="1" applyProtection="1">
      <alignment vertical="center"/>
    </xf>
    <xf xxid="42" numFmtId="0" fontId="7" fillId="0" borderId="12" xfId="0" applyAlignment="1" applyBorder="1" applyFont="1" applyNumberFormat="1" applyFill="1" applyProtection="1">
      <alignment vertical="center"/>
    </xf>
    <xf xxid="43" numFmtId="0" fontId="7" fillId="0" borderId="13" xfId="0" applyAlignment="1" applyBorder="1" applyFont="1" applyNumberFormat="1" applyFill="1" applyProtection="1"/>
    <xf xxid="44" numFmtId="0" fontId="7" fillId="0" borderId="12" xfId="0" applyAlignment="1" applyBorder="1" applyFont="1" applyNumberFormat="1" applyFill="1" applyProtection="1"/>
    <xf xxid="45" numFmtId="0" fontId="7" fillId="0" borderId="22" xfId="0" applyAlignment="1" applyBorder="1" applyFont="1" applyNumberFormat="1" applyFill="1" applyProtection="1"/>
    <xf xxid="46" numFmtId="0" fontId="7" fillId="0" borderId="20" xfId="0" applyAlignment="1" applyBorder="1" applyFont="1" applyNumberFormat="1" applyFill="1" applyProtection="1"/>
    <xf xxid="47" numFmtId="0" fontId="0" fillId="0" borderId="0" xfId="0"/>
    <xf xxid="48" numFmtId="0" fontId="7" fillId="0" borderId="9" xfId="0" applyAlignment="1" applyBorder="1" applyFont="1" applyNumberFormat="1" applyFill="1" applyProtection="1" quotePrefix="1"/>
    <xf xxid="49" numFmtId="0" fontId="7" fillId="0" borderId="10" xfId="0" applyAlignment="1" applyBorder="1" applyFont="1" applyNumberFormat="1" applyFill="1" applyProtection="1" quotePrefix="1"/>
  </cellXfs>
  <cellStyles count="4">
    <cellStyle name="40% - Accent5" xfId="2" builtinId="47"/>
    <cellStyle name="Normal" xfId="0" builtinId="0"/>
    <cellStyle name="Normal 2" xfId="1"/>
    <cellStyle name="Hyperlink" xfId="3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997241</xdr:colOff>
      <xdr:row>2</xdr:row>
      <xdr:rowOff>54694</xdr:rowOff>
    </xdr:from>
    <xdr:to>
      <xdr:col>12</xdr:col>
      <xdr:colOff>642417</xdr:colOff>
      <xdr:row>8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0176" y="547966"/>
          <a:ext cx="1000567" cy="10995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1024151</xdr:colOff>
      <xdr:row>3</xdr:row>
      <xdr:rowOff>179338</xdr:rowOff>
    </xdr:from>
    <xdr:ext cx="2819400" cy="504825"/>
    <xdr:sp>
      <xdr:nvSpPr>
        <x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4023040" y="874060"/>
          <a:ext cx="2812677" cy="505267"/>
        </a:xfrm>
        <a:prstGeom prst="rect">
          <a:avLst/>
        </a:prstGeom>
        <a:noFill/>
      </xdr:spPr>
      <xdr:style>
        <a:lnRef idx="0"/>
        <a:fillRef idx="0"/>
        <a:effectRef idx="0"/>
        <a:fontRef idx="minor">
          <a:schemeClr val="tx1"/>
        </a:fontRef>
      </xdr:style>
      <xdr:txBody>
        <a:bodyPr vertOverflow="clip" horzOverflow="clip" wrap="square" rtlCol="0"/>
        <a:lstStyle/>
        <a:p>
          <a:pPr/>
          <a:r>
            <a:rPr lang="en-US" custom="1" b="1" i="0" sz="2800">
              <a:solidFill>
                <a:srgbClr val="000000"/>
              </a:solidFill>
              <a:latin typeface="Arial"/>
            </a:rPr>
            <a:t>Bill of Materials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997241</xdr:colOff>
      <xdr:row>2</xdr:row>
      <xdr:rowOff>54694</xdr:rowOff>
    </xdr:from>
    <xdr:to>
      <xdr:col>12</xdr:col>
      <xdr:colOff>642417</xdr:colOff>
      <xdr:row>8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0176" y="547966"/>
          <a:ext cx="1000567" cy="10995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1024151</xdr:colOff>
      <xdr:row>3</xdr:row>
      <xdr:rowOff>179338</xdr:rowOff>
    </xdr:from>
    <xdr:ext cx="2819400" cy="504825"/>
    <xdr:sp>
      <xdr:nvSpPr>
        <x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4023040" y="874060"/>
          <a:ext cx="2812677" cy="505267"/>
        </a:xfrm>
        <a:prstGeom prst="rect">
          <a:avLst/>
        </a:prstGeom>
        <a:noFill/>
      </xdr:spPr>
      <xdr:style>
        <a:lnRef idx="0"/>
        <a:fillRef idx="0"/>
        <a:effectRef idx="0"/>
        <a:fontRef idx="minor">
          <a:schemeClr val="tx1"/>
        </a:fontRef>
      </xdr:style>
      <xdr:txBody>
        <a:bodyPr vertOverflow="clip" horzOverflow="clip" wrap="square" rtlCol="0"/>
        <a:lstStyle/>
        <a:p>
          <a:pPr/>
          <a:r>
            <a:rPr lang="en-US" b="1" i="0" sz="2800">
              <a:solidFill>
                <a:srgbClr val="000000"/>
              </a:solidFill>
              <a:latin typeface="Arial"/>
            </a:rPr>
            <a:t>Bill of Materials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M77"/>
  <sheetViews>
    <sheetView showGridLines="0" zoomScale="85" zoomScaleNormal="85" view="normal" workbookViewId="0">
      <selection pane="topLeft" activeCell="B13" sqref="B13"/>
    </sheetView>
  </sheetViews>
  <sheetFormatPr defaultRowHeight="15" baseColWidth="0"/>
  <cols>
    <col min="1" max="1" width="4.99609375" customWidth="1"/>
    <col min="2" max="2" width="28.28125" customWidth="1"/>
    <col min="3" max="3" width="34.56640625" customWidth="1"/>
    <col min="4" max="4" width="42.8515625" customWidth="1"/>
    <col min="5" max="5" width="10.13671875" customWidth="1"/>
    <col min="6" max="7" width="9.99609375" customWidth="1"/>
    <col min="8" max="8" width="33.8515625" customWidth="1"/>
    <col min="9" max="9" width="28.28125" customWidth="1"/>
    <col min="10" max="10" width="15.28125" customWidth="1"/>
    <col min="11" max="11" width="28.99609375" customWidth="1"/>
    <col min="12" max="12" width="20.28125" customWidth="1"/>
    <col min="13" max="13" width="13.8515625" customWidth="1"/>
  </cols>
  <sheetData>
    <row r="1" spans="3:11" ht="20.25" customHeight="1" thickBot="1">
      <c r="C1"/>
      <c r="D1" s="3"/>
      <c r="E1" s="3"/>
      <c r="F1" s="3"/>
      <c r="G1"/>
      <c r="H1"/>
      <c r="I1"/>
      <c r="J1"/>
      <c r="K1"/>
    </row>
    <row r="2" spans="2:13" ht="18.75" customHeight="1">
      <c r="B2" s="8"/>
      <c r="C2" s="6"/>
      <c r="G2" s="1"/>
      <c r="H2" s="1"/>
      <c r="I2" s="1"/>
      <c r="J2" s="1"/>
      <c r="K2" s="1"/>
      <c r="L2" s="1"/>
      <c r="M2" s="16"/>
    </row>
    <row r="3" spans="2:13" ht="15.75" customHeight="1">
      <c r="B3" s="2"/>
      <c r="C3"/>
      <c r="G3"/>
      <c r="H3"/>
      <c r="I3"/>
      <c r="J3"/>
      <c r="K3"/>
      <c r="L3"/>
      <c r="M3" s="5"/>
    </row>
    <row r="4" spans="1:13">
      <c r="A4" s="5"/>
      <c r="B4" s="7" t="s">
        <v>14</v>
      </c>
      <c r="C4" s="45" t="s">
        <v>28</v>
      </c>
      <c r="G4"/>
      <c r="I4"/>
      <c r="K4"/>
      <c r="L4"/>
      <c r="M4" s="5"/>
    </row>
    <row r="5" spans="1:13">
      <c r="A5" s="5"/>
      <c r="B5" s="7" t="s">
        <v>0</v>
      </c>
      <c r="C5" s="46" t="s">
        <v>29</v>
      </c>
      <c r="G5"/>
      <c r="I5"/>
      <c r="K5"/>
      <c r="L5"/>
      <c r="M5" s="5"/>
    </row>
    <row r="6" spans="1:13">
      <c r="A6" s="5"/>
      <c r="B6" s="7" t="s">
        <v>20</v>
      </c>
      <c r="C6" s="46" t="s">
        <v>30</v>
      </c>
      <c r="G6"/>
      <c r="I6"/>
      <c r="K6"/>
      <c r="L6"/>
      <c r="M6" s="5"/>
    </row>
    <row r="7" spans="1:13">
      <c r="A7" s="5"/>
      <c r="B7" s="7" t="s">
        <v>15</v>
      </c>
      <c r="C7" s="46" t="s">
        <v>31</v>
      </c>
      <c r="G7"/>
      <c r="H7"/>
      <c r="I7"/>
      <c r="J7"/>
      <c r="K7"/>
      <c r="L7"/>
      <c r="M7" s="5"/>
    </row>
    <row r="8" spans="2:13">
      <c r="B8" s="2"/>
      <c r="C8"/>
      <c r="G8"/>
      <c r="H8"/>
      <c r="I8"/>
      <c r="J8"/>
      <c r="K8"/>
      <c r="L8"/>
      <c r="M8" s="5"/>
    </row>
    <row r="9" spans="2:13">
      <c r="B9" s="2"/>
      <c r="C9"/>
      <c r="G9"/>
      <c r="H9"/>
      <c r="I9"/>
      <c r="J9"/>
      <c r="K9"/>
      <c r="L9"/>
      <c r="M9" s="5"/>
    </row>
    <row r="10" spans="2:13">
      <c r="B10" s="2"/>
      <c r="C10"/>
      <c r="G10"/>
      <c r="H10"/>
      <c r="I10"/>
      <c r="J10"/>
      <c r="K10"/>
      <c r="L10"/>
      <c r="M10" s="5"/>
    </row>
    <row r="11" spans="2:13">
      <c r="B11" s="18" t="s">
        <v>6</v>
      </c>
      <c r="C11" s="19" t="s">
        <v>25</v>
      </c>
      <c r="D11" s="17" t="s">
        <v>7</v>
      </c>
      <c r="E11" s="17" t="s">
        <v>17</v>
      </c>
      <c r="F11" s="17" t="s">
        <v>18</v>
      </c>
      <c r="G11" s="20" t="s">
        <v>19</v>
      </c>
      <c r="H11" s="20" t="s">
        <v>8</v>
      </c>
      <c r="I11" s="20" t="s">
        <v>13</v>
      </c>
      <c r="J11" s="20" t="s">
        <v>9</v>
      </c>
      <c r="K11" s="20" t="s">
        <v>10</v>
      </c>
      <c r="L11" s="20" t="s">
        <v>11</v>
      </c>
      <c r="M11" s="21" t="s">
        <v>12</v>
      </c>
    </row>
    <row r="12" spans="2:13" ht="30" hidden="1">
      <c r="B12" s="26" t="s">
        <v>32</v>
      </c>
      <c r="C12" s="27" t="s">
        <v>25</v>
      </c>
      <c r="D12" s="28" t="s">
        <v>7</v>
      </c>
      <c r="E12" s="28" t="s">
        <v>17</v>
      </c>
      <c r="F12" s="28" t="s">
        <v>18</v>
      </c>
      <c r="G12" s="29" t="s">
        <v>19</v>
      </c>
      <c r="H12" s="29" t="s">
        <v>4</v>
      </c>
      <c r="I12" s="29" t="s">
        <v>5</v>
      </c>
      <c r="J12" s="29" t="s">
        <v>1</v>
      </c>
      <c r="K12" s="29" t="s">
        <v>2</v>
      </c>
      <c r="L12" s="29" t="s">
        <v>3</v>
      </c>
      <c r="M12" s="30" t="s">
        <v>12</v>
      </c>
    </row>
    <row r="13" spans="2:13">
      <c r="B13" s="38" t="s">
        <v>33</v>
      </c>
      <c r="C13" s="39" t="s">
        <v>26</v>
      </c>
      <c r="D13" s="39" t="s">
        <v>27</v>
      </c>
      <c r="E13" s="31" t="s">
        <v>26</v>
      </c>
      <c r="F13" s="31" t="s">
        <v>22</v>
      </c>
      <c r="G13" s="31"/>
      <c r="H13" s="31"/>
      <c r="I13" s="31"/>
      <c r="J13" s="31"/>
      <c r="K13" s="31"/>
      <c r="L13" s="32"/>
      <c r="M13" s="33">
        <v>38</v>
      </c>
    </row>
    <row r="14" spans="2:13">
      <c r="B14" s="40" t="s">
        <v>34</v>
      </c>
      <c r="C14" s="41" t="s">
        <v>71</v>
      </c>
      <c r="D14" s="41" t="s">
        <v>96</v>
      </c>
      <c r="E14" s="34" t="s">
        <v>71</v>
      </c>
      <c r="F14" s="34"/>
      <c r="G14" s="34"/>
      <c r="H14" s="34"/>
      <c r="I14" s="34"/>
      <c r="J14" s="34" t="s">
        <v>127</v>
      </c>
      <c r="K14" s="34" t="s">
        <v>128</v>
      </c>
      <c r="L14" s="34"/>
      <c r="M14" s="35">
        <v>7</v>
      </c>
    </row>
    <row r="15" spans="2:13" customHeight="1" thickBot="1">
      <c r="B15" s="38" t="s">
        <v>33</v>
      </c>
      <c r="C15" s="39" t="s">
        <v>72</v>
      </c>
      <c r="D15" s="39" t="s">
        <v>27</v>
      </c>
      <c r="E15" s="31" t="s">
        <v>72</v>
      </c>
      <c r="F15" s="31" t="s">
        <v>23</v>
      </c>
      <c r="G15" s="31"/>
      <c r="H15" s="31"/>
      <c r="I15" s="31"/>
      <c r="J15" s="31"/>
      <c r="K15" s="31"/>
      <c r="L15" s="32"/>
      <c r="M15" s="33">
        <v>5</v>
      </c>
    </row>
    <row r="16" spans="2:13" customHeight="1" thickBot="1">
      <c r="B16" s="40" t="s">
        <v>33</v>
      </c>
      <c r="C16" s="41" t="s">
        <v>73</v>
      </c>
      <c r="D16" s="41" t="s">
        <v>27</v>
      </c>
      <c r="E16" s="34" t="s">
        <v>73</v>
      </c>
      <c r="F16" s="34" t="s">
        <v>23</v>
      </c>
      <c r="G16" s="34"/>
      <c r="H16" s="34"/>
      <c r="I16" s="34"/>
      <c r="J16" s="34"/>
      <c r="K16" s="34"/>
      <c r="L16" s="34"/>
      <c r="M16" s="35">
        <v>2</v>
      </c>
    </row>
    <row r="17" spans="2:13" customHeight="1" thickBot="1">
      <c r="B17" s="38" t="s">
        <v>35</v>
      </c>
      <c r="C17" s="39" t="s">
        <v>74</v>
      </c>
      <c r="D17" s="39" t="s">
        <v>97</v>
      </c>
      <c r="E17" s="31" t="s">
        <v>74</v>
      </c>
      <c r="F17" s="31"/>
      <c r="G17" s="31"/>
      <c r="H17" s="31"/>
      <c r="I17" s="31"/>
      <c r="J17" s="31" t="s">
        <v>127</v>
      </c>
      <c r="K17" s="31" t="s">
        <v>129</v>
      </c>
      <c r="L17" s="32"/>
      <c r="M17" s="33">
        <v>2</v>
      </c>
    </row>
    <row r="18" spans="2:13" customHeight="1" thickBot="1">
      <c r="B18" s="40" t="s">
        <v>36</v>
      </c>
      <c r="C18" s="41" t="s">
        <v>74</v>
      </c>
      <c r="D18" s="41" t="s">
        <v>98</v>
      </c>
      <c r="E18" s="34" t="s">
        <v>74</v>
      </c>
      <c r="F18" s="34"/>
      <c r="G18" s="34"/>
      <c r="H18" s="34"/>
      <c r="I18" s="34"/>
      <c r="J18" s="34" t="s">
        <v>127</v>
      </c>
      <c r="K18" s="34" t="s">
        <v>130</v>
      </c>
      <c r="L18" s="34"/>
      <c r="M18" s="35">
        <v>1</v>
      </c>
    </row>
    <row r="19" spans="2:13" customHeight="1" thickBot="1">
      <c r="B19" s="38" t="s">
        <v>33</v>
      </c>
      <c r="C19" s="39" t="s">
        <v>75</v>
      </c>
      <c r="D19" s="39" t="s">
        <v>27</v>
      </c>
      <c r="E19" s="31" t="s">
        <v>75</v>
      </c>
      <c r="F19" s="31" t="s">
        <v>126</v>
      </c>
      <c r="G19" s="31"/>
      <c r="H19" s="31"/>
      <c r="I19" s="31"/>
      <c r="J19" s="31"/>
      <c r="K19" s="31"/>
      <c r="L19" s="32"/>
      <c r="M19" s="33">
        <v>8</v>
      </c>
    </row>
    <row r="20" spans="2:13" customHeight="1" thickBot="1">
      <c r="B20" s="40" t="s">
        <v>33</v>
      </c>
      <c r="C20" s="41" t="s">
        <v>76</v>
      </c>
      <c r="D20" s="41" t="s">
        <v>27</v>
      </c>
      <c r="E20" s="34" t="s">
        <v>76</v>
      </c>
      <c r="F20" s="34" t="s">
        <v>23</v>
      </c>
      <c r="G20" s="34"/>
      <c r="H20" s="34"/>
      <c r="I20" s="34"/>
      <c r="J20" s="34"/>
      <c r="K20" s="34"/>
      <c r="L20" s="34"/>
      <c r="M20" s="35">
        <v>2</v>
      </c>
    </row>
    <row r="21" spans="2:13" customHeight="1" thickBot="1">
      <c r="B21" s="38" t="s">
        <v>37</v>
      </c>
      <c r="C21" s="39" t="s">
        <v>77</v>
      </c>
      <c r="D21" s="39" t="s">
        <v>99</v>
      </c>
      <c r="E21" s="31" t="s">
        <v>77</v>
      </c>
      <c r="F21" s="31"/>
      <c r="G21" s="31"/>
      <c r="H21" s="31"/>
      <c r="I21" s="31"/>
      <c r="J21" s="31" t="s">
        <v>127</v>
      </c>
      <c r="K21" s="31" t="s">
        <v>131</v>
      </c>
      <c r="L21" s="32"/>
      <c r="M21" s="33">
        <v>6</v>
      </c>
    </row>
    <row r="22" spans="2:13" customHeight="1" thickBot="1">
      <c r="B22" s="40" t="s">
        <v>33</v>
      </c>
      <c r="C22" s="41" t="s">
        <v>78</v>
      </c>
      <c r="D22" s="41" t="s">
        <v>27</v>
      </c>
      <c r="E22" s="34" t="s">
        <v>78</v>
      </c>
      <c r="F22" s="34" t="s">
        <v>23</v>
      </c>
      <c r="G22" s="34"/>
      <c r="H22" s="34"/>
      <c r="I22" s="34"/>
      <c r="J22" s="34"/>
      <c r="K22" s="34"/>
      <c r="L22" s="34"/>
      <c r="M22" s="35">
        <v>4</v>
      </c>
    </row>
    <row r="23" spans="2:13" customHeight="1" thickBot="1">
      <c r="B23" s="38" t="s">
        <v>38</v>
      </c>
      <c r="C23" s="39" t="s">
        <v>38</v>
      </c>
      <c r="D23" s="39" t="s">
        <v>100</v>
      </c>
      <c r="E23" s="31"/>
      <c r="F23" s="31"/>
      <c r="G23" s="31" t="s">
        <v>24</v>
      </c>
      <c r="H23" s="31"/>
      <c r="I23" s="31"/>
      <c r="J23" s="31"/>
      <c r="K23" s="31"/>
      <c r="L23" s="32"/>
      <c r="M23" s="33">
        <v>5</v>
      </c>
    </row>
    <row r="24" spans="2:13" customHeight="1" thickBot="1">
      <c r="B24" s="40" t="s">
        <v>39</v>
      </c>
      <c r="C24" s="41" t="s">
        <v>39</v>
      </c>
      <c r="D24" s="41" t="s">
        <v>101</v>
      </c>
      <c r="E24" s="34"/>
      <c r="F24" s="34"/>
      <c r="G24" s="34"/>
      <c r="H24" s="34"/>
      <c r="I24" s="34"/>
      <c r="J24" s="34" t="s">
        <v>127</v>
      </c>
      <c r="K24" s="34" t="s">
        <v>132</v>
      </c>
      <c r="L24" s="34"/>
      <c r="M24" s="35">
        <v>1</v>
      </c>
    </row>
    <row r="25" spans="2:13" customHeight="1" thickBot="1">
      <c r="B25" s="38" t="s">
        <v>40</v>
      </c>
      <c r="C25" s="39" t="s">
        <v>40</v>
      </c>
      <c r="D25" s="39" t="s">
        <v>102</v>
      </c>
      <c r="E25" s="31"/>
      <c r="F25" s="31"/>
      <c r="G25" s="31"/>
      <c r="H25" s="31"/>
      <c r="I25" s="31"/>
      <c r="J25" s="31" t="s">
        <v>127</v>
      </c>
      <c r="K25" s="31" t="s">
        <v>133</v>
      </c>
      <c r="L25" s="32"/>
      <c r="M25" s="33">
        <v>3</v>
      </c>
    </row>
    <row r="26" spans="2:13" customHeight="1" thickBot="1">
      <c r="B26" s="40" t="s">
        <v>41</v>
      </c>
      <c r="C26" s="41" t="s">
        <v>41</v>
      </c>
      <c r="D26" s="41" t="s">
        <v>103</v>
      </c>
      <c r="E26" s="34"/>
      <c r="F26" s="34"/>
      <c r="G26" s="34"/>
      <c r="H26" s="34"/>
      <c r="I26" s="34"/>
      <c r="J26" s="34" t="s">
        <v>127</v>
      </c>
      <c r="K26" s="34" t="s">
        <v>134</v>
      </c>
      <c r="L26" s="34"/>
      <c r="M26" s="35">
        <v>1</v>
      </c>
    </row>
    <row r="27" spans="2:13" customHeight="1" thickBot="1">
      <c r="B27" s="38" t="s">
        <v>42</v>
      </c>
      <c r="C27" s="39" t="s">
        <v>42</v>
      </c>
      <c r="D27" s="39" t="s">
        <v>104</v>
      </c>
      <c r="E27" s="31"/>
      <c r="F27" s="31"/>
      <c r="G27" s="31"/>
      <c r="H27" s="31"/>
      <c r="I27" s="31"/>
      <c r="J27" s="31" t="s">
        <v>127</v>
      </c>
      <c r="K27" s="31" t="s">
        <v>135</v>
      </c>
      <c r="L27" s="32"/>
      <c r="M27" s="33">
        <v>2</v>
      </c>
    </row>
    <row r="28" spans="2:13" customHeight="1" thickBot="1">
      <c r="B28" s="40" t="s">
        <v>43</v>
      </c>
      <c r="C28" s="41" t="s">
        <v>43</v>
      </c>
      <c r="D28" s="41" t="s">
        <v>105</v>
      </c>
      <c r="E28" s="34"/>
      <c r="F28" s="34"/>
      <c r="G28" s="34"/>
      <c r="H28" s="34"/>
      <c r="I28" s="34"/>
      <c r="J28" s="34"/>
      <c r="K28" s="34"/>
      <c r="L28" s="34"/>
      <c r="M28" s="35">
        <v>1</v>
      </c>
    </row>
    <row r="29" spans="2:13" customHeight="1" thickBot="1">
      <c r="B29" s="38" t="s">
        <v>44</v>
      </c>
      <c r="C29" s="39" t="s">
        <v>44</v>
      </c>
      <c r="D29" s="39" t="s">
        <v>105</v>
      </c>
      <c r="E29" s="31"/>
      <c r="F29" s="31"/>
      <c r="G29" s="31"/>
      <c r="H29" s="31"/>
      <c r="I29" s="31"/>
      <c r="J29" s="31"/>
      <c r="K29" s="31"/>
      <c r="L29" s="32"/>
      <c r="M29" s="33">
        <v>1</v>
      </c>
    </row>
    <row r="30" spans="2:13" customHeight="1" thickBot="1">
      <c r="B30" s="40" t="s">
        <v>45</v>
      </c>
      <c r="C30" s="41" t="s">
        <v>45</v>
      </c>
      <c r="D30" s="41" t="s">
        <v>105</v>
      </c>
      <c r="E30" s="34"/>
      <c r="F30" s="34"/>
      <c r="G30" s="34"/>
      <c r="H30" s="34"/>
      <c r="I30" s="34"/>
      <c r="J30" s="34"/>
      <c r="K30" s="34"/>
      <c r="L30" s="34"/>
      <c r="M30" s="35">
        <v>1</v>
      </c>
    </row>
    <row r="31" spans="2:13" customHeight="1" thickBot="1">
      <c r="B31" s="38" t="s">
        <v>46</v>
      </c>
      <c r="C31" s="39" t="s">
        <v>46</v>
      </c>
      <c r="D31" s="39" t="s">
        <v>105</v>
      </c>
      <c r="E31" s="31"/>
      <c r="F31" s="31"/>
      <c r="G31" s="31"/>
      <c r="H31" s="31"/>
      <c r="I31" s="31"/>
      <c r="J31" s="31"/>
      <c r="K31" s="31"/>
      <c r="L31" s="32"/>
      <c r="M31" s="33">
        <v>1</v>
      </c>
    </row>
    <row r="32" spans="2:13" customHeight="1" thickBot="1">
      <c r="B32" s="40" t="s">
        <v>47</v>
      </c>
      <c r="C32" s="41" t="s">
        <v>47</v>
      </c>
      <c r="D32" s="41" t="s">
        <v>106</v>
      </c>
      <c r="E32" s="34"/>
      <c r="F32" s="34"/>
      <c r="G32" s="34"/>
      <c r="H32" s="34"/>
      <c r="I32" s="34"/>
      <c r="J32" s="34" t="s">
        <v>127</v>
      </c>
      <c r="K32" s="34" t="s">
        <v>136</v>
      </c>
      <c r="L32" s="34"/>
      <c r="M32" s="35">
        <v>4</v>
      </c>
    </row>
    <row r="33" spans="2:13" customHeight="1" thickBot="1">
      <c r="B33" s="38" t="s">
        <v>48</v>
      </c>
      <c r="C33" s="39" t="s">
        <v>48</v>
      </c>
      <c r="D33" s="39" t="s">
        <v>105</v>
      </c>
      <c r="E33" s="31"/>
      <c r="F33" s="31"/>
      <c r="G33" s="31"/>
      <c r="H33" s="31"/>
      <c r="I33" s="31"/>
      <c r="J33" s="31"/>
      <c r="K33" s="31"/>
      <c r="L33" s="32"/>
      <c r="M33" s="33">
        <v>2</v>
      </c>
    </row>
    <row r="34" spans="2:13" customHeight="1" thickBot="1">
      <c r="B34" s="40" t="s">
        <v>49</v>
      </c>
      <c r="C34" s="41" t="s">
        <v>49</v>
      </c>
      <c r="D34" s="41" t="s">
        <v>107</v>
      </c>
      <c r="E34" s="34"/>
      <c r="F34" s="34"/>
      <c r="G34" s="34"/>
      <c r="H34" s="34"/>
      <c r="I34" s="34"/>
      <c r="J34" s="34" t="s">
        <v>127</v>
      </c>
      <c r="K34" s="34" t="s">
        <v>137</v>
      </c>
      <c r="L34" s="34"/>
      <c r="M34" s="35">
        <v>3</v>
      </c>
    </row>
    <row r="35" spans="2:13" customHeight="1" thickBot="1">
      <c r="B35" s="38" t="s">
        <v>50</v>
      </c>
      <c r="C35" s="39" t="s">
        <v>50</v>
      </c>
      <c r="D35" s="39" t="s">
        <v>108</v>
      </c>
      <c r="E35" s="31"/>
      <c r="F35" s="31"/>
      <c r="G35" s="31"/>
      <c r="H35" s="31"/>
      <c r="I35" s="31"/>
      <c r="J35" s="31" t="s">
        <v>127</v>
      </c>
      <c r="K35" s="31" t="s">
        <v>138</v>
      </c>
      <c r="L35" s="32"/>
      <c r="M35" s="33">
        <v>3</v>
      </c>
    </row>
    <row r="36" spans="2:13" customHeight="1" thickBot="1">
      <c r="B36" s="40" t="s">
        <v>51</v>
      </c>
      <c r="C36" s="41" t="s">
        <v>51</v>
      </c>
      <c r="D36" s="41" t="s">
        <v>105</v>
      </c>
      <c r="E36" s="34"/>
      <c r="F36" s="34"/>
      <c r="G36" s="34"/>
      <c r="H36" s="34"/>
      <c r="I36" s="34"/>
      <c r="J36" s="34"/>
      <c r="K36" s="34"/>
      <c r="L36" s="34"/>
      <c r="M36" s="35">
        <v>4</v>
      </c>
    </row>
    <row r="37" spans="2:13" customHeight="1" thickBot="1">
      <c r="B37" s="38" t="s">
        <v>52</v>
      </c>
      <c r="C37" s="39" t="s">
        <v>52</v>
      </c>
      <c r="D37" s="39" t="s">
        <v>109</v>
      </c>
      <c r="E37" s="31"/>
      <c r="F37" s="31"/>
      <c r="G37" s="31"/>
      <c r="H37" s="31"/>
      <c r="I37" s="31"/>
      <c r="J37" s="31" t="s">
        <v>127</v>
      </c>
      <c r="K37" s="31" t="s">
        <v>139</v>
      </c>
      <c r="L37" s="32"/>
      <c r="M37" s="33">
        <v>2</v>
      </c>
    </row>
    <row r="38" spans="2:13" customHeight="1" thickBot="1">
      <c r="B38" s="40" t="s">
        <v>53</v>
      </c>
      <c r="C38" s="41" t="s">
        <v>53</v>
      </c>
      <c r="D38" s="41" t="s">
        <v>110</v>
      </c>
      <c r="E38" s="34"/>
      <c r="F38" s="34"/>
      <c r="G38" s="34"/>
      <c r="H38" s="34"/>
      <c r="I38" s="34"/>
      <c r="J38" s="34" t="s">
        <v>127</v>
      </c>
      <c r="K38" s="34" t="s">
        <v>140</v>
      </c>
      <c r="L38" s="34"/>
      <c r="M38" s="35">
        <v>5</v>
      </c>
    </row>
    <row r="39" spans="2:13" customHeight="1" thickBot="1">
      <c r="B39" s="38" t="s">
        <v>54</v>
      </c>
      <c r="C39" s="39" t="s">
        <v>54</v>
      </c>
      <c r="D39" s="39" t="s">
        <v>111</v>
      </c>
      <c r="E39" s="31"/>
      <c r="F39" s="31"/>
      <c r="G39" s="31"/>
      <c r="H39" s="31"/>
      <c r="I39" s="31"/>
      <c r="J39" s="31" t="s">
        <v>127</v>
      </c>
      <c r="K39" s="31" t="s">
        <v>141</v>
      </c>
      <c r="L39" s="32"/>
      <c r="M39" s="33">
        <v>2</v>
      </c>
    </row>
    <row r="40" spans="2:13" customHeight="1" thickBot="1">
      <c r="B40" s="40" t="s">
        <v>55</v>
      </c>
      <c r="C40" s="41" t="s">
        <v>55</v>
      </c>
      <c r="D40" s="41" t="s">
        <v>112</v>
      </c>
      <c r="E40" s="34"/>
      <c r="F40" s="34"/>
      <c r="G40" s="34"/>
      <c r="H40" s="34"/>
      <c r="I40" s="34"/>
      <c r="J40" s="34"/>
      <c r="K40" s="34"/>
      <c r="L40" s="34"/>
      <c r="M40" s="35">
        <v>1</v>
      </c>
    </row>
    <row r="41" spans="2:13" customHeight="1" thickBot="1">
      <c r="B41" s="38" t="s">
        <v>56</v>
      </c>
      <c r="C41" s="39" t="s">
        <v>56</v>
      </c>
      <c r="D41" s="39" t="s">
        <v>113</v>
      </c>
      <c r="E41" s="31"/>
      <c r="F41" s="31"/>
      <c r="G41" s="31"/>
      <c r="H41" s="31"/>
      <c r="I41" s="31"/>
      <c r="J41" s="31" t="s">
        <v>127</v>
      </c>
      <c r="K41" s="31" t="s">
        <v>142</v>
      </c>
      <c r="L41" s="32"/>
      <c r="M41" s="33">
        <v>11</v>
      </c>
    </row>
    <row r="42" spans="2:13" customHeight="1" thickBot="1">
      <c r="B42" s="40" t="s">
        <v>57</v>
      </c>
      <c r="C42" s="41" t="s">
        <v>57</v>
      </c>
      <c r="D42" s="41" t="s">
        <v>114</v>
      </c>
      <c r="E42" s="34"/>
      <c r="F42" s="34"/>
      <c r="G42" s="34"/>
      <c r="H42" s="34"/>
      <c r="I42" s="34"/>
      <c r="J42" s="34" t="s">
        <v>127</v>
      </c>
      <c r="K42" s="34" t="s">
        <v>143</v>
      </c>
      <c r="L42" s="34"/>
      <c r="M42" s="35">
        <v>2</v>
      </c>
    </row>
    <row r="43" spans="2:13" customHeight="1" thickBot="1">
      <c r="B43" s="38" t="s">
        <v>58</v>
      </c>
      <c r="C43" s="39" t="s">
        <v>58</v>
      </c>
      <c r="D43" s="39" t="s">
        <v>115</v>
      </c>
      <c r="E43" s="31"/>
      <c r="F43" s="31"/>
      <c r="G43" s="31"/>
      <c r="H43" s="31"/>
      <c r="I43" s="31"/>
      <c r="J43" s="31" t="s">
        <v>127</v>
      </c>
      <c r="K43" s="31" t="s">
        <v>144</v>
      </c>
      <c r="L43" s="32"/>
      <c r="M43" s="33">
        <v>1</v>
      </c>
    </row>
    <row r="44" spans="2:13" customHeight="1" thickBot="1">
      <c r="B44" s="40" t="s">
        <v>59</v>
      </c>
      <c r="C44" s="41" t="s">
        <v>59</v>
      </c>
      <c r="D44" s="41" t="s">
        <v>116</v>
      </c>
      <c r="E44" s="34"/>
      <c r="F44" s="34"/>
      <c r="G44" s="34"/>
      <c r="H44" s="34"/>
      <c r="I44" s="34"/>
      <c r="J44" s="34" t="s">
        <v>127</v>
      </c>
      <c r="K44" s="34" t="s">
        <v>145</v>
      </c>
      <c r="L44" s="34"/>
      <c r="M44" s="35">
        <v>2</v>
      </c>
    </row>
    <row r="45" spans="2:13" customHeight="1" thickBot="1">
      <c r="B45" s="38" t="s">
        <v>60</v>
      </c>
      <c r="C45" s="39" t="s">
        <v>60</v>
      </c>
      <c r="D45" s="39" t="s">
        <v>117</v>
      </c>
      <c r="E45" s="31"/>
      <c r="F45" s="31"/>
      <c r="G45" s="31"/>
      <c r="H45" s="31"/>
      <c r="I45" s="31"/>
      <c r="J45" s="31" t="s">
        <v>127</v>
      </c>
      <c r="K45" s="31" t="s">
        <v>146</v>
      </c>
      <c r="L45" s="32"/>
      <c r="M45" s="33">
        <v>2</v>
      </c>
    </row>
    <row r="46" spans="2:13" customHeight="1" thickBot="1">
      <c r="B46" s="40" t="s">
        <v>61</v>
      </c>
      <c r="C46" s="41" t="s">
        <v>61</v>
      </c>
      <c r="D46" s="41" t="s">
        <v>112</v>
      </c>
      <c r="E46" s="34"/>
      <c r="F46" s="34"/>
      <c r="G46" s="34"/>
      <c r="H46" s="34"/>
      <c r="I46" s="34"/>
      <c r="J46" s="34"/>
      <c r="K46" s="34"/>
      <c r="L46" s="34"/>
      <c r="M46" s="35">
        <v>3</v>
      </c>
    </row>
    <row r="47" spans="2:13" customHeight="1" thickBot="1">
      <c r="B47" s="38" t="s">
        <v>62</v>
      </c>
      <c r="C47" s="39" t="s">
        <v>62</v>
      </c>
      <c r="D47" s="39" t="s">
        <v>118</v>
      </c>
      <c r="E47" s="31"/>
      <c r="F47" s="31"/>
      <c r="G47" s="31"/>
      <c r="H47" s="31"/>
      <c r="I47" s="31"/>
      <c r="J47" s="31" t="s">
        <v>127</v>
      </c>
      <c r="K47" s="31" t="s">
        <v>147</v>
      </c>
      <c r="L47" s="32"/>
      <c r="M47" s="33">
        <v>3</v>
      </c>
    </row>
    <row r="48" spans="2:13" customHeight="1" thickBot="1">
      <c r="B48" s="40" t="s">
        <v>63</v>
      </c>
      <c r="C48" s="41" t="s">
        <v>79</v>
      </c>
      <c r="D48" s="41" t="s">
        <v>119</v>
      </c>
      <c r="E48" s="34"/>
      <c r="F48" s="34"/>
      <c r="G48" s="34"/>
      <c r="H48" s="34"/>
      <c r="I48" s="34"/>
      <c r="J48" s="34"/>
      <c r="K48" s="34"/>
      <c r="L48" s="34"/>
      <c r="M48" s="35">
        <v>1</v>
      </c>
    </row>
    <row r="49" spans="2:13" customHeight="1" thickBot="1">
      <c r="B49" s="38" t="s">
        <v>64</v>
      </c>
      <c r="C49" s="39" t="s">
        <v>64</v>
      </c>
      <c r="D49" s="39" t="s">
        <v>119</v>
      </c>
      <c r="E49" s="31"/>
      <c r="F49" s="31"/>
      <c r="G49" s="31"/>
      <c r="H49" s="31"/>
      <c r="I49" s="31"/>
      <c r="J49" s="31"/>
      <c r="K49" s="31"/>
      <c r="L49" s="32"/>
      <c r="M49" s="33">
        <v>3</v>
      </c>
    </row>
    <row r="50" spans="2:13" customHeight="1" thickBot="1">
      <c r="B50" s="40" t="s">
        <v>65</v>
      </c>
      <c r="C50" s="41" t="s">
        <v>80</v>
      </c>
      <c r="D50" s="41" t="s">
        <v>65</v>
      </c>
      <c r="E50" s="34" t="s">
        <v>80</v>
      </c>
      <c r="F50" s="34"/>
      <c r="G50" s="34"/>
      <c r="H50" s="34"/>
      <c r="I50" s="34"/>
      <c r="J50" s="34"/>
      <c r="K50" s="34"/>
      <c r="L50" s="34"/>
      <c r="M50" s="35">
        <v>9</v>
      </c>
    </row>
    <row r="51" spans="2:13" customHeight="1" thickBot="1">
      <c r="B51" s="38" t="s">
        <v>65</v>
      </c>
      <c r="C51" s="39" t="s">
        <v>81</v>
      </c>
      <c r="D51" s="39" t="s">
        <v>65</v>
      </c>
      <c r="E51" s="31" t="s">
        <v>81</v>
      </c>
      <c r="F51" s="31"/>
      <c r="G51" s="31"/>
      <c r="H51" s="31"/>
      <c r="I51" s="31"/>
      <c r="J51" s="31"/>
      <c r="K51" s="31"/>
      <c r="L51" s="32"/>
      <c r="M51" s="33">
        <v>5</v>
      </c>
    </row>
    <row r="52" spans="2:13" customHeight="1" thickBot="1">
      <c r="B52" s="40" t="s">
        <v>65</v>
      </c>
      <c r="C52" s="41" t="s">
        <v>82</v>
      </c>
      <c r="D52" s="41" t="s">
        <v>65</v>
      </c>
      <c r="E52" s="34" t="s">
        <v>82</v>
      </c>
      <c r="F52" s="34"/>
      <c r="G52" s="34"/>
      <c r="H52" s="34"/>
      <c r="I52" s="34"/>
      <c r="J52" s="34"/>
      <c r="K52" s="34"/>
      <c r="L52" s="34"/>
      <c r="M52" s="35">
        <v>34</v>
      </c>
    </row>
    <row r="53" spans="2:13" customHeight="1" thickBot="1">
      <c r="B53" s="38" t="s">
        <v>65</v>
      </c>
      <c r="C53" s="39" t="s">
        <v>83</v>
      </c>
      <c r="D53" s="39" t="s">
        <v>120</v>
      </c>
      <c r="E53" s="31" t="s">
        <v>83</v>
      </c>
      <c r="F53" s="31"/>
      <c r="G53" s="31"/>
      <c r="H53" s="31"/>
      <c r="I53" s="31"/>
      <c r="J53" s="31"/>
      <c r="K53" s="31"/>
      <c r="L53" s="32"/>
      <c r="M53" s="33">
        <v>2</v>
      </c>
    </row>
    <row r="54" spans="2:13" customHeight="1" thickBot="1">
      <c r="B54" s="40" t="s">
        <v>65</v>
      </c>
      <c r="C54" s="41" t="s">
        <v>84</v>
      </c>
      <c r="D54" s="41" t="s">
        <v>120</v>
      </c>
      <c r="E54" s="34" t="s">
        <v>84</v>
      </c>
      <c r="F54" s="34"/>
      <c r="G54" s="34"/>
      <c r="H54" s="34"/>
      <c r="I54" s="34"/>
      <c r="J54" s="34"/>
      <c r="K54" s="34"/>
      <c r="L54" s="34"/>
      <c r="M54" s="35">
        <v>1</v>
      </c>
    </row>
    <row r="55" spans="2:13" customHeight="1" thickBot="1">
      <c r="B55" s="38" t="s">
        <v>65</v>
      </c>
      <c r="C55" s="39" t="s">
        <v>85</v>
      </c>
      <c r="D55" s="39" t="s">
        <v>65</v>
      </c>
      <c r="E55" s="31" t="s">
        <v>85</v>
      </c>
      <c r="F55" s="31"/>
      <c r="G55" s="31"/>
      <c r="H55" s="31"/>
      <c r="I55" s="31"/>
      <c r="J55" s="31"/>
      <c r="K55" s="31"/>
      <c r="L55" s="32"/>
      <c r="M55" s="33">
        <v>9</v>
      </c>
    </row>
    <row r="56" spans="2:13" customHeight="1" thickBot="1">
      <c r="B56" s="40" t="s">
        <v>65</v>
      </c>
      <c r="C56" s="41" t="s">
        <v>81</v>
      </c>
      <c r="D56" s="41" t="s">
        <v>120</v>
      </c>
      <c r="E56" s="34" t="s">
        <v>81</v>
      </c>
      <c r="F56" s="34"/>
      <c r="G56" s="34"/>
      <c r="H56" s="34"/>
      <c r="I56" s="34"/>
      <c r="J56" s="34"/>
      <c r="K56" s="34"/>
      <c r="L56" s="34"/>
      <c r="M56" s="35">
        <v>1</v>
      </c>
    </row>
    <row r="57" spans="2:13" customHeight="1" thickBot="1">
      <c r="B57" s="38" t="s">
        <v>65</v>
      </c>
      <c r="C57" s="39" t="s">
        <v>86</v>
      </c>
      <c r="D57" s="39" t="s">
        <v>65</v>
      </c>
      <c r="E57" s="31" t="s">
        <v>86</v>
      </c>
      <c r="F57" s="31"/>
      <c r="G57" s="31"/>
      <c r="H57" s="31"/>
      <c r="I57" s="31"/>
      <c r="J57" s="31"/>
      <c r="K57" s="31"/>
      <c r="L57" s="32"/>
      <c r="M57" s="33">
        <v>1</v>
      </c>
    </row>
    <row r="58" spans="2:13" customHeight="1" thickBot="1">
      <c r="B58" s="40" t="s">
        <v>65</v>
      </c>
      <c r="C58" s="41" t="s">
        <v>87</v>
      </c>
      <c r="D58" s="41" t="s">
        <v>65</v>
      </c>
      <c r="E58" s="34" t="s">
        <v>87</v>
      </c>
      <c r="F58" s="34"/>
      <c r="G58" s="34"/>
      <c r="H58" s="34"/>
      <c r="I58" s="34"/>
      <c r="J58" s="34"/>
      <c r="K58" s="34"/>
      <c r="L58" s="34"/>
      <c r="M58" s="35">
        <v>1</v>
      </c>
    </row>
    <row r="59" spans="2:13" customHeight="1" thickBot="1">
      <c r="B59" s="38" t="s">
        <v>65</v>
      </c>
      <c r="C59" s="39" t="s">
        <v>88</v>
      </c>
      <c r="D59" s="39" t="s">
        <v>65</v>
      </c>
      <c r="E59" s="31" t="s">
        <v>88</v>
      </c>
      <c r="F59" s="31"/>
      <c r="G59" s="31"/>
      <c r="H59" s="31"/>
      <c r="I59" s="31"/>
      <c r="J59" s="31"/>
      <c r="K59" s="31"/>
      <c r="L59" s="32"/>
      <c r="M59" s="33">
        <v>6</v>
      </c>
    </row>
    <row r="60" spans="2:13" customHeight="1" thickBot="1">
      <c r="B60" s="40" t="s">
        <v>65</v>
      </c>
      <c r="C60" s="41" t="s">
        <v>89</v>
      </c>
      <c r="D60" s="41" t="s">
        <v>65</v>
      </c>
      <c r="E60" s="34" t="s">
        <v>89</v>
      </c>
      <c r="F60" s="34"/>
      <c r="G60" s="34"/>
      <c r="H60" s="34"/>
      <c r="I60" s="34"/>
      <c r="J60" s="34"/>
      <c r="K60" s="34"/>
      <c r="L60" s="34"/>
      <c r="M60" s="35">
        <v>1</v>
      </c>
    </row>
    <row r="61" spans="2:13" customHeight="1" thickBot="1">
      <c r="B61" s="38" t="s">
        <v>65</v>
      </c>
      <c r="C61" s="39" t="s">
        <v>90</v>
      </c>
      <c r="D61" s="39" t="s">
        <v>65</v>
      </c>
      <c r="E61" s="31" t="s">
        <v>90</v>
      </c>
      <c r="F61" s="31"/>
      <c r="G61" s="31"/>
      <c r="H61" s="31"/>
      <c r="I61" s="31"/>
      <c r="J61" s="31"/>
      <c r="K61" s="31"/>
      <c r="L61" s="32"/>
      <c r="M61" s="33">
        <v>1</v>
      </c>
    </row>
    <row r="62" spans="2:13" customHeight="1" thickBot="1">
      <c r="B62" s="40" t="s">
        <v>65</v>
      </c>
      <c r="C62" s="41" t="s">
        <v>91</v>
      </c>
      <c r="D62" s="41" t="s">
        <v>65</v>
      </c>
      <c r="E62" s="34" t="s">
        <v>91</v>
      </c>
      <c r="F62" s="34"/>
      <c r="G62" s="34"/>
      <c r="H62" s="34"/>
      <c r="I62" s="34"/>
      <c r="J62" s="34"/>
      <c r="K62" s="34"/>
      <c r="L62" s="34"/>
      <c r="M62" s="35">
        <v>2</v>
      </c>
    </row>
    <row r="63" spans="2:13" customHeight="1" thickBot="1">
      <c r="B63" s="38" t="s">
        <v>65</v>
      </c>
      <c r="C63" s="39" t="s">
        <v>92</v>
      </c>
      <c r="D63" s="39" t="s">
        <v>65</v>
      </c>
      <c r="E63" s="31" t="s">
        <v>92</v>
      </c>
      <c r="F63" s="31"/>
      <c r="G63" s="31"/>
      <c r="H63" s="31"/>
      <c r="I63" s="31"/>
      <c r="J63" s="31"/>
      <c r="K63" s="31"/>
      <c r="L63" s="32"/>
      <c r="M63" s="33">
        <v>4</v>
      </c>
    </row>
    <row r="64" spans="2:13" customHeight="1" thickBot="1">
      <c r="B64" s="40" t="s">
        <v>65</v>
      </c>
      <c r="C64" s="41" t="s">
        <v>83</v>
      </c>
      <c r="D64" s="41" t="s">
        <v>65</v>
      </c>
      <c r="E64" s="34" t="s">
        <v>83</v>
      </c>
      <c r="F64" s="34"/>
      <c r="G64" s="34"/>
      <c r="H64" s="34"/>
      <c r="I64" s="34"/>
      <c r="J64" s="34"/>
      <c r="K64" s="34"/>
      <c r="L64" s="34"/>
      <c r="M64" s="35">
        <v>7</v>
      </c>
    </row>
    <row r="65" spans="2:13" customHeight="1" thickBot="1">
      <c r="B65" s="38" t="s">
        <v>66</v>
      </c>
      <c r="C65" s="39" t="s">
        <v>93</v>
      </c>
      <c r="D65" s="39" t="s">
        <v>121</v>
      </c>
      <c r="E65" s="31" t="s">
        <v>93</v>
      </c>
      <c r="F65" s="31"/>
      <c r="G65" s="31"/>
      <c r="H65" s="31"/>
      <c r="I65" s="31"/>
      <c r="J65" s="31" t="s">
        <v>127</v>
      </c>
      <c r="K65" s="31" t="s">
        <v>148</v>
      </c>
      <c r="L65" s="32"/>
      <c r="M65" s="33">
        <v>2</v>
      </c>
    </row>
    <row r="66" spans="2:13" customHeight="1" thickBot="1">
      <c r="B66" s="40" t="s">
        <v>65</v>
      </c>
      <c r="C66" s="41" t="s">
        <v>94</v>
      </c>
      <c r="D66" s="41" t="s">
        <v>65</v>
      </c>
      <c r="E66" s="34" t="s">
        <v>94</v>
      </c>
      <c r="F66" s="34"/>
      <c r="G66" s="34"/>
      <c r="H66" s="34"/>
      <c r="I66" s="34"/>
      <c r="J66" s="34"/>
      <c r="K66" s="34"/>
      <c r="L66" s="34"/>
      <c r="M66" s="35">
        <v>4</v>
      </c>
    </row>
    <row r="67" spans="2:13" customHeight="1" thickBot="1">
      <c r="B67" s="38" t="s">
        <v>65</v>
      </c>
      <c r="C67" s="39" t="s">
        <v>95</v>
      </c>
      <c r="D67" s="39" t="s">
        <v>65</v>
      </c>
      <c r="E67" s="31" t="s">
        <v>95</v>
      </c>
      <c r="F67" s="31"/>
      <c r="G67" s="31"/>
      <c r="H67" s="31"/>
      <c r="I67" s="31"/>
      <c r="J67" s="31"/>
      <c r="K67" s="31"/>
      <c r="L67" s="32"/>
      <c r="M67" s="33">
        <v>4</v>
      </c>
    </row>
    <row r="68" spans="2:13" customHeight="1" thickBot="1">
      <c r="B68" s="40" t="s">
        <v>67</v>
      </c>
      <c r="C68" s="41" t="s">
        <v>67</v>
      </c>
      <c r="D68" s="41" t="s">
        <v>122</v>
      </c>
      <c r="E68" s="34"/>
      <c r="F68" s="34"/>
      <c r="G68" s="34"/>
      <c r="H68" s="34"/>
      <c r="I68" s="34"/>
      <c r="J68" s="34"/>
      <c r="K68" s="34"/>
      <c r="L68" s="34"/>
      <c r="M68" s="35">
        <v>2</v>
      </c>
    </row>
    <row r="69" spans="2:13" customHeight="1" thickBot="1">
      <c r="B69" s="38" t="s">
        <v>68</v>
      </c>
      <c r="C69" s="39" t="s">
        <v>68</v>
      </c>
      <c r="D69" s="39" t="s">
        <v>123</v>
      </c>
      <c r="E69" s="31"/>
      <c r="F69" s="31"/>
      <c r="G69" s="31"/>
      <c r="H69" s="31"/>
      <c r="I69" s="31"/>
      <c r="J69" s="31" t="s">
        <v>127</v>
      </c>
      <c r="K69" s="31" t="s">
        <v>149</v>
      </c>
      <c r="L69" s="32"/>
      <c r="M69" s="33">
        <v>3</v>
      </c>
    </row>
    <row r="70" spans="2:13" customHeight="1" thickBot="1">
      <c r="B70" s="40" t="s">
        <v>69</v>
      </c>
      <c r="C70" s="41" t="s">
        <v>69</v>
      </c>
      <c r="D70" s="41" t="s">
        <v>124</v>
      </c>
      <c r="E70" s="34"/>
      <c r="F70" s="34"/>
      <c r="G70" s="34"/>
      <c r="H70" s="34"/>
      <c r="I70" s="34"/>
      <c r="J70" s="34"/>
      <c r="K70" s="34"/>
      <c r="L70" s="34"/>
      <c r="M70" s="35">
        <v>2</v>
      </c>
    </row>
    <row r="71" spans="2:13" customHeight="1" thickBot="1">
      <c r="B71" s="38" t="s">
        <v>70</v>
      </c>
      <c r="C71" s="39" t="s">
        <v>70</v>
      </c>
      <c r="D71" s="39" t="s">
        <v>125</v>
      </c>
      <c r="E71" s="31"/>
      <c r="F71" s="31"/>
      <c r="G71" s="31"/>
      <c r="H71" s="31"/>
      <c r="I71" s="31"/>
      <c r="J71" s="31"/>
      <c r="K71" s="31"/>
      <c r="L71" s="32"/>
      <c r="M71" s="33">
        <v>1</v>
      </c>
    </row>
    <row r="72" spans="2:13">
      <c r="B72" s="11"/>
      <c r="C72" s="1"/>
      <c r="D72" s="1"/>
      <c r="E72" s="1"/>
      <c r="F72" s="1"/>
      <c r="G72" s="1"/>
      <c r="H72" s="12"/>
      <c r="I72" s="12"/>
      <c r="J72" s="12"/>
      <c r="K72" s="13"/>
      <c r="L72" s="24" t="s">
        <v>21</v>
      </c>
      <c r="M72" s="25" t="s">
        <v>16</v>
      </c>
    </row>
    <row r="73" spans="2:13" ht="15.75" thickBot="1">
      <c r="B73" s="9"/>
      <c r="C73" s="3"/>
      <c r="D73" s="3"/>
      <c r="E73" s="3"/>
      <c r="F73" s="3"/>
      <c r="G73" s="3"/>
      <c r="H73" s="4"/>
      <c r="I73" s="4"/>
      <c r="J73" s="4"/>
      <c r="K73" s="10"/>
      <c r="L73" s="22">
        <f>SUM(L13:L71)</f>
        <v>0</v>
      </c>
      <c r="M73" s="23">
        <f>SUM(M13:M71)</f>
        <v>247</v>
      </c>
    </row>
    <row r="74" spans="2:10">
      <c r="B74"/>
      <c r="C74"/>
      <c r="D74"/>
      <c r="E74"/>
      <c r="F74"/>
      <c r="G74"/>
      <c r="H74"/>
      <c r="I74"/>
      <c r="J74"/>
    </row>
    <row r="75" spans="2:10">
      <c r="B75"/>
      <c r="C75"/>
      <c r="D75"/>
      <c r="E75"/>
      <c r="F75"/>
      <c r="G75"/>
      <c r="H75"/>
      <c r="I75"/>
      <c r="J75"/>
    </row>
    <row r="76" spans="2:10">
      <c r="B76"/>
      <c r="C76"/>
      <c r="D76"/>
      <c r="E76"/>
      <c r="F76"/>
      <c r="G76"/>
      <c r="H76"/>
      <c r="I76"/>
      <c r="J76"/>
    </row>
    <row r="77" spans="2:10">
      <c r="B77"/>
      <c r="C77"/>
      <c r="D77"/>
      <c r="E77"/>
      <c r="F77"/>
      <c r="G77"/>
      <c r="H77"/>
      <c r="I77"/>
      <c r="J77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Chris Carlson</dc:creator>
  <cp:lastModifiedBy>Samyar Sadat Akhavi</cp:lastModifiedBy>
  <dcterms:created xsi:type="dcterms:W3CDTF">2013-12-31T18:23:59Z</dcterms:created>
  <dcterms:modified xsi:type="dcterms:W3CDTF">2025-10-19T10:03:40Z</dcterms:modified>
  <cp:lastPrinted>2014-01-09T23:24:28Z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