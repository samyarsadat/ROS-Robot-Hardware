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<sst xmlns="http://schemas.openxmlformats.org/spreadsheetml/2006/main" uniqueCount="140">
  <si>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</si>
  <si>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</si>
  <si>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</si>
  <si>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</si>
  <si>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</si>
  <si>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</si>
  <si>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</si>
  <si>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</si>
  <si>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</si>
  <si>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</si>
  <si>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</si>
  <si>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</si>
  <si>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</si>
  <si>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</si>
  <si>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</si>
  <si>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</si>
  <si>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</si>
  <si>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</si>
  <si>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</si>
  <si>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</si>
  <si>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</si>
  <si>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</si>
  <si>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value</t>
  </si>
  <si>
    <t>6.3V</t>
  </si>
  <si>
    <t>Green</t>
  </si>
  <si>
    <t>Name</t>
  </si>
  <si>
    <t>470uF</t>
  </si>
  <si>
    <t>CAP ALUM 470UF 20% 16V RADIAL</t>
  </si>
  <si>
    <t>The ROS Robot Project</t>
  </si>
  <si>
    <t>Motor_Control_Board.PrjPcb</t>
  </si>
  <si>
    <t>2/24/2026</t>
  </si>
  <si>
    <t>Samyar Sadat Akhavi</t>
  </si>
  <si>
    <t>DesignItemId</t>
  </si>
  <si>
    <t>UVR1C471MPD1TA</t>
  </si>
  <si>
    <t>Resistor</t>
  </si>
  <si>
    <t>Non-polar Capacitor</t>
  </si>
  <si>
    <t>860020373008</t>
  </si>
  <si>
    <t>CL21A226MAYNNNE</t>
  </si>
  <si>
    <t>3413.0328.22</t>
  </si>
  <si>
    <t>43045-0812</t>
  </si>
  <si>
    <t>B4B-XH-A(LF)(SN)</t>
  </si>
  <si>
    <t>B6B-XH-A(LF)(SN)</t>
  </si>
  <si>
    <t>BAS416,115</t>
  </si>
  <si>
    <t>BM02B-SRSS-TB(LF)(SN)</t>
  </si>
  <si>
    <t>BM03B-SRSS-TB(LF)(SN)</t>
  </si>
  <si>
    <t>BM07B-SRSS-TB(LF)(SN)</t>
  </si>
  <si>
    <t>DMP2045UQ-7</t>
  </si>
  <si>
    <t>DRV8245SQRXZRQ1</t>
  </si>
  <si>
    <t>ESD5Z3.3T1G</t>
  </si>
  <si>
    <t>LED</t>
  </si>
  <si>
    <t>LM4040A30IDBZR</t>
  </si>
  <si>
    <t>PA4343.222NLT</t>
  </si>
  <si>
    <t>PGA2350</t>
  </si>
  <si>
    <t>PTS815_SJK_250_SMTR_LFS</t>
  </si>
  <si>
    <t>SF-1206F100-2</t>
  </si>
  <si>
    <t>SMBJ13A</t>
  </si>
  <si>
    <t>SN74LVC2G17DCKR</t>
  </si>
  <si>
    <t>TMP112AIDRLR</t>
  </si>
  <si>
    <t>TPS3808G50DBVR</t>
  </si>
  <si>
    <t>330R</t>
  </si>
  <si>
    <t>220R</t>
  </si>
  <si>
    <t>180pF</t>
  </si>
  <si>
    <t>150uF</t>
  </si>
  <si>
    <t>100R</t>
  </si>
  <si>
    <t>100nF</t>
  </si>
  <si>
    <t>49.9k</t>
  </si>
  <si>
    <t>47nF</t>
  </si>
  <si>
    <t>25.5k</t>
  </si>
  <si>
    <t>22nF</t>
  </si>
  <si>
    <t>22 µF</t>
  </si>
  <si>
    <t>10uF</t>
  </si>
  <si>
    <t>10nF</t>
  </si>
  <si>
    <t>10k</t>
  </si>
  <si>
    <t>8.25k</t>
  </si>
  <si>
    <t>4.7k</t>
  </si>
  <si>
    <t>3.4k</t>
  </si>
  <si>
    <t>1.76k</t>
  </si>
  <si>
    <t>1.5k</t>
  </si>
  <si>
    <t>1uF</t>
  </si>
  <si>
    <t>1nF</t>
  </si>
  <si>
    <t>0R</t>
  </si>
  <si>
    <t>Generic Ceramic Capacitor</t>
  </si>
  <si>
    <t>CAP ALUM 150UF 20% 16V RADIAL</t>
  </si>
  <si>
    <t>CAP CER 22UF 25V X5R 0805</t>
  </si>
  <si>
    <t>FUSE BOARD MOUNT 10A 32VAC 63VDC</t>
  </si>
  <si>
    <t>Connector</t>
  </si>
  <si>
    <t>CONN HEADER VERT 4POS 2.5MM</t>
  </si>
  <si>
    <t>CONN HEADER VERT 6POS 2.5MM</t>
  </si>
  <si>
    <t>DIODE STANDARD 75V 200MA SOD323</t>
  </si>
  <si>
    <t>CONN HEADER SMD 2POS 1MM</t>
  </si>
  <si>
    <t>CONN HEADER SMD 3POS 1MM</t>
  </si>
  <si>
    <t>CONN HEADER SMD 7POS 1MM</t>
  </si>
  <si>
    <t>MOSFET P-CH 20V 4.3A SOT23</t>
  </si>
  <si>
    <t>Automotive 40-V, 32-A H-Bridge driver with integrated current sensing and feedback 16-VQFN-HR -40 to 125</t>
  </si>
  <si>
    <t>TVS DIODE 3.3V 14.1V SOD523</t>
  </si>
  <si>
    <t>Indicator LED</t>
  </si>
  <si>
    <t>Integrated Circuit</t>
  </si>
  <si>
    <t>Inductor</t>
  </si>
  <si>
    <t>RP2350B carrier module</t>
  </si>
  <si>
    <t>Switch</t>
  </si>
  <si>
    <t>FUSE BOARD MOUNT 1A 63VDC 1206</t>
  </si>
  <si>
    <t>TVS DIODE 13VWM 21.5VC SMB</t>
  </si>
  <si>
    <t>25V</t>
  </si>
  <si>
    <t>100V</t>
  </si>
  <si>
    <t>16V</t>
  </si>
  <si>
    <t>Amber</t>
  </si>
  <si>
    <t>Blue</t>
  </si>
  <si>
    <t>Molex</t>
  </si>
  <si>
    <t>JST Sales America Inc.</t>
  </si>
  <si>
    <t>Diodes Inc.</t>
  </si>
  <si>
    <t>Texas Instruments</t>
  </si>
  <si>
    <t>Pimoroni Ltd</t>
  </si>
  <si>
    <t>C&amp;K</t>
  </si>
  <si>
    <t>Bourns Inc.</t>
  </si>
  <si>
    <t>MOLEX-430450812</t>
  </si>
  <si>
    <t>B4B-XH-A</t>
  </si>
  <si>
    <t>B6B-XH-A</t>
  </si>
  <si>
    <t>BM03B-SRSS-TB</t>
  </si>
  <si>
    <t>PIM722</t>
  </si>
  <si>
    <t>PTS815SJK250SMTR LFS</t>
  </si>
  <si>
    <t>DigiKey</t>
  </si>
  <si>
    <t>Özdisan</t>
  </si>
  <si>
    <t>UVR1C471MPD1TA-ND</t>
  </si>
  <si>
    <t>732-8795-1-ND</t>
  </si>
  <si>
    <t>1276-CL21A226MAYNNNECT-ND</t>
  </si>
  <si>
    <t>486-1686-1-ND</t>
  </si>
  <si>
    <t>455-B4B-XH-A-ND</t>
  </si>
  <si>
    <t>455-B6B-XH-A-ND</t>
  </si>
  <si>
    <t>1727-4807-1-ND</t>
  </si>
  <si>
    <t>455-1788-1-ND</t>
  </si>
  <si>
    <t>455-BM03B-SRSS-TBCT-ND</t>
  </si>
  <si>
    <t>455-1793-1-ND</t>
  </si>
  <si>
    <t>31-DMP2045UQ-7CT-ND</t>
  </si>
  <si>
    <t>ESD5Z3.3T1GOSCT-ND</t>
  </si>
  <si>
    <t>296-20861-1-ND</t>
  </si>
  <si>
    <t>1778-PIM722-ND</t>
  </si>
  <si>
    <t>PTS815SJK250SMTRLFS</t>
  </si>
  <si>
    <t>SF-1206F100-2CT-ND</t>
  </si>
  <si>
    <t>SMBJ13ABCT-ND</t>
  </si>
  <si>
    <t>296-17196-1-ND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</si>
</sst>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68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22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/>
      <c r="G13" s="31"/>
      <c r="H13" s="31"/>
      <c r="I13" s="31"/>
      <c r="J13" s="31" t="s">
        <v>120</v>
      </c>
      <c r="K13" s="31" t="s">
        <v>122</v>
      </c>
      <c r="L13" s="32"/>
      <c r="M13" s="33">
        <v>4</v>
      </c>
    </row>
    <row r="14" spans="2:13">
      <c r="B14" s="40" t="s">
        <v>34</v>
      </c>
      <c r="C14" s="41" t="s">
        <v>59</v>
      </c>
      <c r="D14" s="41" t="s">
        <v>34</v>
      </c>
      <c r="E14" s="34" t="s">
        <v>59</v>
      </c>
      <c r="F14" s="34"/>
      <c r="G14" s="34"/>
      <c r="H14" s="34"/>
      <c r="I14" s="34"/>
      <c r="J14" s="34"/>
      <c r="K14" s="34"/>
      <c r="L14" s="34"/>
      <c r="M14" s="35">
        <v>1</v>
      </c>
    </row>
    <row r="15" spans="2:13" customHeight="1" thickBot="1">
      <c r="B15" s="38" t="s">
        <v>34</v>
      </c>
      <c r="C15" s="39" t="s">
        <v>60</v>
      </c>
      <c r="D15" s="39" t="s">
        <v>34</v>
      </c>
      <c r="E15" s="31" t="s">
        <v>60</v>
      </c>
      <c r="F15" s="31"/>
      <c r="G15" s="31"/>
      <c r="H15" s="31"/>
      <c r="I15" s="31"/>
      <c r="J15" s="31"/>
      <c r="K15" s="31"/>
      <c r="L15" s="32"/>
      <c r="M15" s="33">
        <v>3</v>
      </c>
    </row>
    <row r="16" spans="2:13" customHeight="1" thickBot="1">
      <c r="B16" s="40" t="s">
        <v>35</v>
      </c>
      <c r="C16" s="41" t="s">
        <v>61</v>
      </c>
      <c r="D16" s="41" t="s">
        <v>81</v>
      </c>
      <c r="E16" s="34" t="s">
        <v>61</v>
      </c>
      <c r="F16" s="34" t="s">
        <v>23</v>
      </c>
      <c r="G16" s="34"/>
      <c r="H16" s="34"/>
      <c r="I16" s="34"/>
      <c r="J16" s="34"/>
      <c r="K16" s="34"/>
      <c r="L16" s="34"/>
      <c r="M16" s="35">
        <v>8</v>
      </c>
    </row>
    <row r="17" spans="2:13" customHeight="1" thickBot="1">
      <c r="B17" s="38" t="s">
        <v>36</v>
      </c>
      <c r="C17" s="39" t="s">
        <v>62</v>
      </c>
      <c r="D17" s="39" t="s">
        <v>82</v>
      </c>
      <c r="E17" s="31" t="s">
        <v>62</v>
      </c>
      <c r="F17" s="31"/>
      <c r="G17" s="31"/>
      <c r="H17" s="31"/>
      <c r="I17" s="31"/>
      <c r="J17" s="31" t="s">
        <v>120</v>
      </c>
      <c r="K17" s="31" t="s">
        <v>123</v>
      </c>
      <c r="L17" s="32"/>
      <c r="M17" s="33">
        <v>2</v>
      </c>
    </row>
    <row r="18" spans="2:13" customHeight="1" thickBot="1">
      <c r="B18" s="40" t="s">
        <v>34</v>
      </c>
      <c r="C18" s="41" t="s">
        <v>63</v>
      </c>
      <c r="D18" s="41" t="s">
        <v>34</v>
      </c>
      <c r="E18" s="34" t="s">
        <v>63</v>
      </c>
      <c r="F18" s="34"/>
      <c r="G18" s="34"/>
      <c r="H18" s="34"/>
      <c r="I18" s="34"/>
      <c r="J18" s="34"/>
      <c r="K18" s="34"/>
      <c r="L18" s="34"/>
      <c r="M18" s="35">
        <v>11</v>
      </c>
    </row>
    <row r="19" spans="2:13" customHeight="1" thickBot="1">
      <c r="B19" s="38" t="s">
        <v>35</v>
      </c>
      <c r="C19" s="39" t="s">
        <v>64</v>
      </c>
      <c r="D19" s="39" t="s">
        <v>81</v>
      </c>
      <c r="E19" s="31" t="s">
        <v>64</v>
      </c>
      <c r="F19" s="31" t="s">
        <v>102</v>
      </c>
      <c r="G19" s="31"/>
      <c r="H19" s="31"/>
      <c r="I19" s="31"/>
      <c r="J19" s="31"/>
      <c r="K19" s="31"/>
      <c r="L19" s="32"/>
      <c r="M19" s="33">
        <v>4</v>
      </c>
    </row>
    <row r="20" spans="2:13" customHeight="1" thickBot="1">
      <c r="B20" s="40" t="s">
        <v>35</v>
      </c>
      <c r="C20" s="41" t="s">
        <v>64</v>
      </c>
      <c r="D20" s="41" t="s">
        <v>81</v>
      </c>
      <c r="E20" s="34" t="s">
        <v>64</v>
      </c>
      <c r="F20" s="34" t="s">
        <v>23</v>
      </c>
      <c r="G20" s="34"/>
      <c r="H20" s="34"/>
      <c r="I20" s="34"/>
      <c r="J20" s="34"/>
      <c r="K20" s="34"/>
      <c r="L20" s="34"/>
      <c r="M20" s="35">
        <v>9</v>
      </c>
    </row>
    <row r="21" spans="2:13" customHeight="1" thickBot="1">
      <c r="B21" s="38" t="s">
        <v>35</v>
      </c>
      <c r="C21" s="39" t="s">
        <v>64</v>
      </c>
      <c r="D21" s="39" t="s">
        <v>81</v>
      </c>
      <c r="E21" s="31" t="s">
        <v>64</v>
      </c>
      <c r="F21" s="31" t="s">
        <v>103</v>
      </c>
      <c r="G21" s="31"/>
      <c r="H21" s="31"/>
      <c r="I21" s="31"/>
      <c r="J21" s="31"/>
      <c r="K21" s="31"/>
      <c r="L21" s="32"/>
      <c r="M21" s="33">
        <v>4</v>
      </c>
    </row>
    <row r="22" spans="2:13" customHeight="1" thickBot="1">
      <c r="B22" s="40" t="s">
        <v>35</v>
      </c>
      <c r="C22" s="41" t="s">
        <v>64</v>
      </c>
      <c r="D22" s="41" t="s">
        <v>81</v>
      </c>
      <c r="E22" s="34" t="s">
        <v>64</v>
      </c>
      <c r="F22" s="34" t="s">
        <v>104</v>
      </c>
      <c r="G22" s="34"/>
      <c r="H22" s="34"/>
      <c r="I22" s="34"/>
      <c r="J22" s="34"/>
      <c r="K22" s="34"/>
      <c r="L22" s="34"/>
      <c r="M22" s="35">
        <v>2</v>
      </c>
    </row>
    <row r="23" spans="2:13" customHeight="1" thickBot="1">
      <c r="B23" s="38" t="s">
        <v>34</v>
      </c>
      <c r="C23" s="39" t="s">
        <v>65</v>
      </c>
      <c r="D23" s="39" t="s">
        <v>34</v>
      </c>
      <c r="E23" s="31" t="s">
        <v>65</v>
      </c>
      <c r="F23" s="31"/>
      <c r="G23" s="31"/>
      <c r="H23" s="31"/>
      <c r="I23" s="31"/>
      <c r="J23" s="31"/>
      <c r="K23" s="31"/>
      <c r="L23" s="32"/>
      <c r="M23" s="33">
        <v>1</v>
      </c>
    </row>
    <row r="24" spans="2:13" customHeight="1" thickBot="1">
      <c r="B24" s="40" t="s">
        <v>35</v>
      </c>
      <c r="C24" s="41" t="s">
        <v>66</v>
      </c>
      <c r="D24" s="41" t="s">
        <v>81</v>
      </c>
      <c r="E24" s="34" t="s">
        <v>66</v>
      </c>
      <c r="F24" s="34" t="s">
        <v>23</v>
      </c>
      <c r="G24" s="34"/>
      <c r="H24" s="34"/>
      <c r="I24" s="34"/>
      <c r="J24" s="34"/>
      <c r="K24" s="34"/>
      <c r="L24" s="34"/>
      <c r="M24" s="35">
        <v>4</v>
      </c>
    </row>
    <row r="25" spans="2:13" customHeight="1" thickBot="1">
      <c r="B25" s="38" t="s">
        <v>34</v>
      </c>
      <c r="C25" s="39" t="s">
        <v>67</v>
      </c>
      <c r="D25" s="39" t="s">
        <v>34</v>
      </c>
      <c r="E25" s="31" t="s">
        <v>67</v>
      </c>
      <c r="F25" s="31"/>
      <c r="G25" s="31"/>
      <c r="H25" s="31"/>
      <c r="I25" s="31"/>
      <c r="J25" s="31"/>
      <c r="K25" s="31"/>
      <c r="L25" s="32"/>
      <c r="M25" s="33">
        <v>1</v>
      </c>
    </row>
    <row r="26" spans="2:13" customHeight="1" thickBot="1">
      <c r="B26" s="40" t="s">
        <v>35</v>
      </c>
      <c r="C26" s="41" t="s">
        <v>68</v>
      </c>
      <c r="D26" s="41" t="s">
        <v>81</v>
      </c>
      <c r="E26" s="34" t="s">
        <v>68</v>
      </c>
      <c r="F26" s="34" t="s">
        <v>23</v>
      </c>
      <c r="G26" s="34"/>
      <c r="H26" s="34"/>
      <c r="I26" s="34"/>
      <c r="J26" s="34"/>
      <c r="K26" s="34"/>
      <c r="L26" s="34"/>
      <c r="M26" s="35">
        <v>1</v>
      </c>
    </row>
    <row r="27" spans="2:13" customHeight="1" thickBot="1">
      <c r="B27" s="38" t="s">
        <v>37</v>
      </c>
      <c r="C27" s="39" t="s">
        <v>69</v>
      </c>
      <c r="D27" s="39" t="s">
        <v>83</v>
      </c>
      <c r="E27" s="31" t="s">
        <v>69</v>
      </c>
      <c r="F27" s="31"/>
      <c r="G27" s="31"/>
      <c r="H27" s="31"/>
      <c r="I27" s="31"/>
      <c r="J27" s="31" t="s">
        <v>120</v>
      </c>
      <c r="K27" s="31" t="s">
        <v>124</v>
      </c>
      <c r="L27" s="32"/>
      <c r="M27" s="33">
        <v>1</v>
      </c>
    </row>
    <row r="28" spans="2:13" customHeight="1" thickBot="1">
      <c r="B28" s="40" t="s">
        <v>35</v>
      </c>
      <c r="C28" s="41" t="s">
        <v>70</v>
      </c>
      <c r="D28" s="41" t="s">
        <v>81</v>
      </c>
      <c r="E28" s="34" t="s">
        <v>70</v>
      </c>
      <c r="F28" s="34" t="s">
        <v>23</v>
      </c>
      <c r="G28" s="34"/>
      <c r="H28" s="34"/>
      <c r="I28" s="34"/>
      <c r="J28" s="34"/>
      <c r="K28" s="34"/>
      <c r="L28" s="34"/>
      <c r="M28" s="35">
        <v>1</v>
      </c>
    </row>
    <row r="29" spans="2:13" customHeight="1" thickBot="1">
      <c r="B29" s="38" t="s">
        <v>35</v>
      </c>
      <c r="C29" s="39" t="s">
        <v>71</v>
      </c>
      <c r="D29" s="39" t="s">
        <v>81</v>
      </c>
      <c r="E29" s="31" t="s">
        <v>71</v>
      </c>
      <c r="F29" s="31" t="s">
        <v>104</v>
      </c>
      <c r="G29" s="31"/>
      <c r="H29" s="31"/>
      <c r="I29" s="31"/>
      <c r="J29" s="31"/>
      <c r="K29" s="31"/>
      <c r="L29" s="32"/>
      <c r="M29" s="33">
        <v>2</v>
      </c>
    </row>
    <row r="30" spans="2:13" customHeight="1" thickBot="1">
      <c r="B30" s="40" t="s">
        <v>34</v>
      </c>
      <c r="C30" s="41" t="s">
        <v>72</v>
      </c>
      <c r="D30" s="41" t="s">
        <v>34</v>
      </c>
      <c r="E30" s="34" t="s">
        <v>72</v>
      </c>
      <c r="F30" s="34"/>
      <c r="G30" s="34"/>
      <c r="H30" s="34"/>
      <c r="I30" s="34"/>
      <c r="J30" s="34"/>
      <c r="K30" s="34"/>
      <c r="L30" s="34"/>
      <c r="M30" s="35">
        <v>6</v>
      </c>
    </row>
    <row r="31" spans="2:13" customHeight="1" thickBot="1">
      <c r="B31" s="38" t="s">
        <v>34</v>
      </c>
      <c r="C31" s="39" t="s">
        <v>73</v>
      </c>
      <c r="D31" s="39" t="s">
        <v>34</v>
      </c>
      <c r="E31" s="31" t="s">
        <v>73</v>
      </c>
      <c r="F31" s="31"/>
      <c r="G31" s="31"/>
      <c r="H31" s="31"/>
      <c r="I31" s="31"/>
      <c r="J31" s="31"/>
      <c r="K31" s="31"/>
      <c r="L31" s="32"/>
      <c r="M31" s="33">
        <v>1</v>
      </c>
    </row>
    <row r="32" spans="2:13" customHeight="1" thickBot="1">
      <c r="B32" s="40" t="s">
        <v>34</v>
      </c>
      <c r="C32" s="41" t="s">
        <v>74</v>
      </c>
      <c r="D32" s="41" t="s">
        <v>34</v>
      </c>
      <c r="E32" s="34" t="s">
        <v>74</v>
      </c>
      <c r="F32" s="34"/>
      <c r="G32" s="34"/>
      <c r="H32" s="34"/>
      <c r="I32" s="34"/>
      <c r="J32" s="34"/>
      <c r="K32" s="34"/>
      <c r="L32" s="34"/>
      <c r="M32" s="35">
        <v>8</v>
      </c>
    </row>
    <row r="33" spans="2:13" customHeight="1" thickBot="1">
      <c r="B33" s="38" t="s">
        <v>34</v>
      </c>
      <c r="C33" s="39" t="s">
        <v>75</v>
      </c>
      <c r="D33" s="39" t="s">
        <v>34</v>
      </c>
      <c r="E33" s="31" t="s">
        <v>75</v>
      </c>
      <c r="F33" s="31"/>
      <c r="G33" s="31"/>
      <c r="H33" s="31"/>
      <c r="I33" s="31"/>
      <c r="J33" s="31"/>
      <c r="K33" s="31"/>
      <c r="L33" s="32"/>
      <c r="M33" s="33">
        <v>4</v>
      </c>
    </row>
    <row r="34" spans="2:13" customHeight="1" thickBot="1">
      <c r="B34" s="40" t="s">
        <v>34</v>
      </c>
      <c r="C34" s="41" t="s">
        <v>76</v>
      </c>
      <c r="D34" s="41" t="s">
        <v>34</v>
      </c>
      <c r="E34" s="34" t="s">
        <v>76</v>
      </c>
      <c r="F34" s="34"/>
      <c r="G34" s="34"/>
      <c r="H34" s="34"/>
      <c r="I34" s="34"/>
      <c r="J34" s="34"/>
      <c r="K34" s="34"/>
      <c r="L34" s="34"/>
      <c r="M34" s="35">
        <v>1</v>
      </c>
    </row>
    <row r="35" spans="2:13" customHeight="1" thickBot="1">
      <c r="B35" s="38" t="s">
        <v>34</v>
      </c>
      <c r="C35" s="39" t="s">
        <v>77</v>
      </c>
      <c r="D35" s="39" t="s">
        <v>34</v>
      </c>
      <c r="E35" s="31" t="s">
        <v>77</v>
      </c>
      <c r="F35" s="31"/>
      <c r="G35" s="31"/>
      <c r="H35" s="31"/>
      <c r="I35" s="31"/>
      <c r="J35" s="31"/>
      <c r="K35" s="31"/>
      <c r="L35" s="32"/>
      <c r="M35" s="33">
        <v>1</v>
      </c>
    </row>
    <row r="36" spans="2:13" customHeight="1" thickBot="1">
      <c r="B36" s="40" t="s">
        <v>35</v>
      </c>
      <c r="C36" s="41" t="s">
        <v>78</v>
      </c>
      <c r="D36" s="41" t="s">
        <v>81</v>
      </c>
      <c r="E36" s="34" t="s">
        <v>78</v>
      </c>
      <c r="F36" s="34" t="s">
        <v>104</v>
      </c>
      <c r="G36" s="34"/>
      <c r="H36" s="34"/>
      <c r="I36" s="34"/>
      <c r="J36" s="34"/>
      <c r="K36" s="34"/>
      <c r="L36" s="34"/>
      <c r="M36" s="35">
        <v>3</v>
      </c>
    </row>
    <row r="37" spans="2:13" customHeight="1" thickBot="1">
      <c r="B37" s="38" t="s">
        <v>35</v>
      </c>
      <c r="C37" s="39" t="s">
        <v>79</v>
      </c>
      <c r="D37" s="39" t="s">
        <v>81</v>
      </c>
      <c r="E37" s="31" t="s">
        <v>79</v>
      </c>
      <c r="F37" s="31" t="s">
        <v>103</v>
      </c>
      <c r="G37" s="31"/>
      <c r="H37" s="31"/>
      <c r="I37" s="31"/>
      <c r="J37" s="31"/>
      <c r="K37" s="31"/>
      <c r="L37" s="32"/>
      <c r="M37" s="33">
        <v>8</v>
      </c>
    </row>
    <row r="38" spans="2:13" customHeight="1" thickBot="1">
      <c r="B38" s="40" t="s">
        <v>35</v>
      </c>
      <c r="C38" s="41" t="s">
        <v>79</v>
      </c>
      <c r="D38" s="41" t="s">
        <v>81</v>
      </c>
      <c r="E38" s="34" t="s">
        <v>79</v>
      </c>
      <c r="F38" s="34" t="s">
        <v>104</v>
      </c>
      <c r="G38" s="34"/>
      <c r="H38" s="34"/>
      <c r="I38" s="34"/>
      <c r="J38" s="34"/>
      <c r="K38" s="34"/>
      <c r="L38" s="34"/>
      <c r="M38" s="35">
        <v>2</v>
      </c>
    </row>
    <row r="39" spans="2:13" customHeight="1" thickBot="1">
      <c r="B39" s="38" t="s">
        <v>34</v>
      </c>
      <c r="C39" s="39" t="s">
        <v>80</v>
      </c>
      <c r="D39" s="39" t="s">
        <v>34</v>
      </c>
      <c r="E39" s="31" t="s">
        <v>80</v>
      </c>
      <c r="F39" s="31"/>
      <c r="G39" s="31"/>
      <c r="H39" s="31"/>
      <c r="I39" s="31"/>
      <c r="J39" s="31"/>
      <c r="K39" s="31"/>
      <c r="L39" s="32"/>
      <c r="M39" s="33">
        <v>4</v>
      </c>
    </row>
    <row r="40" spans="2:13" customHeight="1" thickBot="1">
      <c r="B40" s="40" t="s">
        <v>38</v>
      </c>
      <c r="C40" s="41" t="s">
        <v>38</v>
      </c>
      <c r="D40" s="41" t="s">
        <v>84</v>
      </c>
      <c r="E40" s="34"/>
      <c r="F40" s="34"/>
      <c r="G40" s="34"/>
      <c r="H40" s="34"/>
      <c r="I40" s="34"/>
      <c r="J40" s="34" t="s">
        <v>120</v>
      </c>
      <c r="K40" s="34" t="s">
        <v>125</v>
      </c>
      <c r="L40" s="34"/>
      <c r="M40" s="35">
        <v>1</v>
      </c>
    </row>
    <row r="41" spans="2:13" customHeight="1" thickBot="1">
      <c r="B41" s="38" t="s">
        <v>39</v>
      </c>
      <c r="C41" s="39" t="s">
        <v>39</v>
      </c>
      <c r="D41" s="39" t="s">
        <v>85</v>
      </c>
      <c r="E41" s="31"/>
      <c r="F41" s="31"/>
      <c r="G41" s="31"/>
      <c r="H41" s="31" t="s">
        <v>107</v>
      </c>
      <c r="I41" s="31" t="s">
        <v>114</v>
      </c>
      <c r="J41" s="31" t="s">
        <v>121</v>
      </c>
      <c r="K41" s="31" t="s">
        <v>114</v>
      </c>
      <c r="L41" s="32">
        <v>0.55421</v>
      </c>
      <c r="M41" s="33">
        <v>1</v>
      </c>
    </row>
    <row r="42" spans="2:13" customHeight="1" thickBot="1">
      <c r="B42" s="40" t="s">
        <v>40</v>
      </c>
      <c r="C42" s="41" t="s">
        <v>40</v>
      </c>
      <c r="D42" s="41" t="s">
        <v>86</v>
      </c>
      <c r="E42" s="34"/>
      <c r="F42" s="34"/>
      <c r="G42" s="34"/>
      <c r="H42" s="34" t="s">
        <v>108</v>
      </c>
      <c r="I42" s="34" t="s">
        <v>115</v>
      </c>
      <c r="J42" s="34" t="s">
        <v>120</v>
      </c>
      <c r="K42" s="34" t="s">
        <v>126</v>
      </c>
      <c r="L42" s="34">
        <v>0.14</v>
      </c>
      <c r="M42" s="35">
        <v>1</v>
      </c>
    </row>
    <row r="43" spans="2:13" customHeight="1" thickBot="1">
      <c r="B43" s="38" t="s">
        <v>41</v>
      </c>
      <c r="C43" s="39" t="s">
        <v>41</v>
      </c>
      <c r="D43" s="39" t="s">
        <v>87</v>
      </c>
      <c r="E43" s="31"/>
      <c r="F43" s="31"/>
      <c r="G43" s="31"/>
      <c r="H43" s="31" t="s">
        <v>108</v>
      </c>
      <c r="I43" s="31" t="s">
        <v>116</v>
      </c>
      <c r="J43" s="31" t="s">
        <v>120</v>
      </c>
      <c r="K43" s="31" t="s">
        <v>127</v>
      </c>
      <c r="L43" s="32">
        <v>0.2</v>
      </c>
      <c r="M43" s="33">
        <v>4</v>
      </c>
    </row>
    <row r="44" spans="2:13" customHeight="1" thickBot="1">
      <c r="B44" s="40" t="s">
        <v>42</v>
      </c>
      <c r="C44" s="41" t="s">
        <v>42</v>
      </c>
      <c r="D44" s="41" t="s">
        <v>88</v>
      </c>
      <c r="E44" s="34"/>
      <c r="F44" s="34"/>
      <c r="G44" s="34"/>
      <c r="H44" s="34"/>
      <c r="I44" s="34"/>
      <c r="J44" s="34" t="s">
        <v>120</v>
      </c>
      <c r="K44" s="34" t="s">
        <v>128</v>
      </c>
      <c r="L44" s="34"/>
      <c r="M44" s="35">
        <v>1</v>
      </c>
    </row>
    <row r="45" spans="2:13" customHeight="1" thickBot="1">
      <c r="B45" s="38" t="s">
        <v>43</v>
      </c>
      <c r="C45" s="39" t="s">
        <v>43</v>
      </c>
      <c r="D45" s="39" t="s">
        <v>89</v>
      </c>
      <c r="E45" s="31"/>
      <c r="F45" s="31"/>
      <c r="G45" s="31"/>
      <c r="H45" s="31"/>
      <c r="I45" s="31"/>
      <c r="J45" s="31" t="s">
        <v>120</v>
      </c>
      <c r="K45" s="31" t="s">
        <v>129</v>
      </c>
      <c r="L45" s="32"/>
      <c r="M45" s="33">
        <v>1</v>
      </c>
    </row>
    <row r="46" spans="2:13" customHeight="1" thickBot="1">
      <c r="B46" s="40" t="s">
        <v>44</v>
      </c>
      <c r="C46" s="41" t="s">
        <v>44</v>
      </c>
      <c r="D46" s="41" t="s">
        <v>90</v>
      </c>
      <c r="E46" s="34"/>
      <c r="F46" s="34"/>
      <c r="G46" s="34"/>
      <c r="H46" s="34" t="s">
        <v>108</v>
      </c>
      <c r="I46" s="34" t="s">
        <v>117</v>
      </c>
      <c r="J46" s="34" t="s">
        <v>120</v>
      </c>
      <c r="K46" s="34" t="s">
        <v>130</v>
      </c>
      <c r="L46" s="34">
        <v>0.45</v>
      </c>
      <c r="M46" s="35">
        <v>2</v>
      </c>
    </row>
    <row r="47" spans="2:13" customHeight="1" thickBot="1">
      <c r="B47" s="38" t="s">
        <v>45</v>
      </c>
      <c r="C47" s="39" t="s">
        <v>45</v>
      </c>
      <c r="D47" s="39" t="s">
        <v>91</v>
      </c>
      <c r="E47" s="31"/>
      <c r="F47" s="31"/>
      <c r="G47" s="31"/>
      <c r="H47" s="31"/>
      <c r="I47" s="31"/>
      <c r="J47" s="31" t="s">
        <v>120</v>
      </c>
      <c r="K47" s="31" t="s">
        <v>131</v>
      </c>
      <c r="L47" s="32"/>
      <c r="M47" s="33">
        <v>2</v>
      </c>
    </row>
    <row r="48" spans="2:13" customHeight="1" thickBot="1">
      <c r="B48" s="40" t="s">
        <v>46</v>
      </c>
      <c r="C48" s="41" t="s">
        <v>46</v>
      </c>
      <c r="D48" s="41" t="s">
        <v>92</v>
      </c>
      <c r="E48" s="34"/>
      <c r="F48" s="34"/>
      <c r="G48" s="34"/>
      <c r="H48" s="34" t="s">
        <v>109</v>
      </c>
      <c r="I48" s="34" t="s">
        <v>46</v>
      </c>
      <c r="J48" s="34" t="s">
        <v>120</v>
      </c>
      <c r="K48" s="34" t="s">
        <v>132</v>
      </c>
      <c r="L48" s="34">
        <v>0.49</v>
      </c>
      <c r="M48" s="35">
        <v>1</v>
      </c>
    </row>
    <row r="49" spans="2:13" customHeight="1" thickBot="1">
      <c r="B49" s="38" t="s">
        <v>47</v>
      </c>
      <c r="C49" s="39" t="s">
        <v>47</v>
      </c>
      <c r="D49" s="39" t="s">
        <v>93</v>
      </c>
      <c r="E49" s="31"/>
      <c r="F49" s="31"/>
      <c r="G49" s="31"/>
      <c r="H49" s="31"/>
      <c r="I49" s="31"/>
      <c r="J49" s="31"/>
      <c r="K49" s="31"/>
      <c r="L49" s="32"/>
      <c r="M49" s="33">
        <v>4</v>
      </c>
    </row>
    <row r="50" spans="2:13" customHeight="1" thickBot="1">
      <c r="B50" s="40" t="s">
        <v>48</v>
      </c>
      <c r="C50" s="41" t="s">
        <v>48</v>
      </c>
      <c r="D50" s="41" t="s">
        <v>94</v>
      </c>
      <c r="E50" s="34"/>
      <c r="F50" s="34"/>
      <c r="G50" s="34"/>
      <c r="H50" s="34"/>
      <c r="I50" s="34"/>
      <c r="J50" s="34" t="s">
        <v>120</v>
      </c>
      <c r="K50" s="34" t="s">
        <v>133</v>
      </c>
      <c r="L50" s="34"/>
      <c r="M50" s="35">
        <v>5</v>
      </c>
    </row>
    <row r="51" spans="2:13" customHeight="1" thickBot="1">
      <c r="B51" s="38" t="s">
        <v>49</v>
      </c>
      <c r="C51" s="39" t="s">
        <v>49</v>
      </c>
      <c r="D51" s="39" t="s">
        <v>95</v>
      </c>
      <c r="E51" s="31"/>
      <c r="F51" s="31"/>
      <c r="G51" s="31" t="s">
        <v>24</v>
      </c>
      <c r="H51" s="31"/>
      <c r="I51" s="31"/>
      <c r="J51" s="31"/>
      <c r="K51" s="31"/>
      <c r="L51" s="32"/>
      <c r="M51" s="33">
        <v>1</v>
      </c>
    </row>
    <row r="52" spans="2:13" customHeight="1" thickBot="1">
      <c r="B52" s="40" t="s">
        <v>49</v>
      </c>
      <c r="C52" s="41" t="s">
        <v>49</v>
      </c>
      <c r="D52" s="41" t="s">
        <v>95</v>
      </c>
      <c r="E52" s="34"/>
      <c r="F52" s="34"/>
      <c r="G52" s="34" t="s">
        <v>105</v>
      </c>
      <c r="H52" s="34"/>
      <c r="I52" s="34"/>
      <c r="J52" s="34"/>
      <c r="K52" s="34"/>
      <c r="L52" s="34"/>
      <c r="M52" s="35">
        <v>1</v>
      </c>
    </row>
    <row r="53" spans="2:13" customHeight="1" thickBot="1">
      <c r="B53" s="38" t="s">
        <v>49</v>
      </c>
      <c r="C53" s="39" t="s">
        <v>49</v>
      </c>
      <c r="D53" s="39" t="s">
        <v>95</v>
      </c>
      <c r="E53" s="31"/>
      <c r="F53" s="31"/>
      <c r="G53" s="31" t="s">
        <v>106</v>
      </c>
      <c r="H53" s="31"/>
      <c r="I53" s="31"/>
      <c r="J53" s="31"/>
      <c r="K53" s="31"/>
      <c r="L53" s="32"/>
      <c r="M53" s="33">
        <v>2</v>
      </c>
    </row>
    <row r="54" spans="2:13" customHeight="1" thickBot="1">
      <c r="B54" s="40" t="s">
        <v>50</v>
      </c>
      <c r="C54" s="41" t="s">
        <v>50</v>
      </c>
      <c r="D54" s="41" t="s">
        <v>96</v>
      </c>
      <c r="E54" s="34"/>
      <c r="F54" s="34"/>
      <c r="G54" s="34"/>
      <c r="H54" s="34" t="s">
        <v>110</v>
      </c>
      <c r="I54" s="34" t="s">
        <v>50</v>
      </c>
      <c r="J54" s="34" t="s">
        <v>120</v>
      </c>
      <c r="K54" s="34" t="s">
        <v>134</v>
      </c>
      <c r="L54" s="34">
        <v>1.88</v>
      </c>
      <c r="M54" s="35">
        <v>1</v>
      </c>
    </row>
    <row r="55" spans="2:13" customHeight="1" thickBot="1">
      <c r="B55" s="38" t="s">
        <v>51</v>
      </c>
      <c r="C55" s="39" t="s">
        <v>51</v>
      </c>
      <c r="D55" s="39" t="s">
        <v>97</v>
      </c>
      <c r="E55" s="31"/>
      <c r="F55" s="31"/>
      <c r="G55" s="31"/>
      <c r="H55" s="31"/>
      <c r="I55" s="31"/>
      <c r="J55" s="31"/>
      <c r="K55" s="31"/>
      <c r="L55" s="32"/>
      <c r="M55" s="33">
        <v>1</v>
      </c>
    </row>
    <row r="56" spans="2:13" customHeight="1" thickBot="1">
      <c r="B56" s="40" t="s">
        <v>52</v>
      </c>
      <c r="C56" s="41" t="s">
        <v>52</v>
      </c>
      <c r="D56" s="41" t="s">
        <v>98</v>
      </c>
      <c r="E56" s="34"/>
      <c r="F56" s="34"/>
      <c r="G56" s="34"/>
      <c r="H56" s="34" t="s">
        <v>111</v>
      </c>
      <c r="I56" s="34" t="s">
        <v>118</v>
      </c>
      <c r="J56" s="34" t="s">
        <v>120</v>
      </c>
      <c r="K56" s="34" t="s">
        <v>135</v>
      </c>
      <c r="L56" s="34"/>
      <c r="M56" s="35">
        <v>1</v>
      </c>
    </row>
    <row r="57" spans="2:13" customHeight="1" thickBot="1">
      <c r="B57" s="38" t="s">
        <v>53</v>
      </c>
      <c r="C57" s="39" t="s">
        <v>53</v>
      </c>
      <c r="D57" s="39" t="s">
        <v>99</v>
      </c>
      <c r="E57" s="31"/>
      <c r="F57" s="31"/>
      <c r="G57" s="31"/>
      <c r="H57" s="31" t="s">
        <v>112</v>
      </c>
      <c r="I57" s="31" t="s">
        <v>119</v>
      </c>
      <c r="J57" s="31" t="s">
        <v>121</v>
      </c>
      <c r="K57" s="31" t="s">
        <v>136</v>
      </c>
      <c r="L57" s="32">
        <v>0.1484</v>
      </c>
      <c r="M57" s="33">
        <v>2</v>
      </c>
    </row>
    <row r="58" spans="2:13" customHeight="1" thickBot="1">
      <c r="B58" s="40" t="s">
        <v>54</v>
      </c>
      <c r="C58" s="41" t="s">
        <v>54</v>
      </c>
      <c r="D58" s="41" t="s">
        <v>100</v>
      </c>
      <c r="E58" s="34"/>
      <c r="F58" s="34"/>
      <c r="G58" s="34"/>
      <c r="H58" s="34"/>
      <c r="I58" s="34"/>
      <c r="J58" s="34" t="s">
        <v>120</v>
      </c>
      <c r="K58" s="34" t="s">
        <v>137</v>
      </c>
      <c r="L58" s="34"/>
      <c r="M58" s="35">
        <v>1</v>
      </c>
    </row>
    <row r="59" spans="2:13" customHeight="1" thickBot="1">
      <c r="B59" s="38" t="s">
        <v>55</v>
      </c>
      <c r="C59" s="39" t="s">
        <v>55</v>
      </c>
      <c r="D59" s="39" t="s">
        <v>101</v>
      </c>
      <c r="E59" s="31"/>
      <c r="F59" s="31"/>
      <c r="G59" s="31"/>
      <c r="H59" s="31" t="s">
        <v>113</v>
      </c>
      <c r="I59" s="31" t="s">
        <v>55</v>
      </c>
      <c r="J59" s="31" t="s">
        <v>120</v>
      </c>
      <c r="K59" s="31" t="s">
        <v>138</v>
      </c>
      <c r="L59" s="32">
        <v>0.53</v>
      </c>
      <c r="M59" s="33">
        <v>4</v>
      </c>
    </row>
    <row r="60" spans="2:13" customHeight="1" thickBot="1">
      <c r="B60" s="40" t="s">
        <v>56</v>
      </c>
      <c r="C60" s="41" t="s">
        <v>56</v>
      </c>
      <c r="D60" s="41" t="s">
        <v>96</v>
      </c>
      <c r="E60" s="34"/>
      <c r="F60" s="34"/>
      <c r="G60" s="34"/>
      <c r="H60" s="34"/>
      <c r="I60" s="34"/>
      <c r="J60" s="34"/>
      <c r="K60" s="34"/>
      <c r="L60" s="34"/>
      <c r="M60" s="35">
        <v>4</v>
      </c>
    </row>
    <row r="61" spans="2:13" customHeight="1" thickBot="1">
      <c r="B61" s="38" t="s">
        <v>57</v>
      </c>
      <c r="C61" s="39" t="s">
        <v>57</v>
      </c>
      <c r="D61" s="39" t="s">
        <v>96</v>
      </c>
      <c r="E61" s="31"/>
      <c r="F61" s="31"/>
      <c r="G61" s="31"/>
      <c r="H61" s="31" t="s">
        <v>110</v>
      </c>
      <c r="I61" s="31" t="s">
        <v>57</v>
      </c>
      <c r="J61" s="31" t="s">
        <v>121</v>
      </c>
      <c r="K61" s="31" t="s">
        <v>57</v>
      </c>
      <c r="L61" s="32">
        <v>0.58756</v>
      </c>
      <c r="M61" s="33">
        <v>2</v>
      </c>
    </row>
    <row r="62" spans="2:13" customHeight="1" thickBot="1">
      <c r="B62" s="40" t="s">
        <v>58</v>
      </c>
      <c r="C62" s="41" t="s">
        <v>58</v>
      </c>
      <c r="D62" s="41" t="s">
        <v>96</v>
      </c>
      <c r="E62" s="34"/>
      <c r="F62" s="34"/>
      <c r="G62" s="34"/>
      <c r="H62" s="34" t="s">
        <v>110</v>
      </c>
      <c r="I62" s="34" t="s">
        <v>58</v>
      </c>
      <c r="J62" s="34" t="s">
        <v>120</v>
      </c>
      <c r="K62" s="34" t="s">
        <v>139</v>
      </c>
      <c r="L62" s="34">
        <v>1.79</v>
      </c>
      <c r="M62" s="35">
        <v>1</v>
      </c>
    </row>
    <row r="63" spans="2:13">
      <c r="B63" s="11"/>
      <c r="C63" s="1"/>
      <c r="D63" s="1"/>
      <c r="E63" s="1"/>
      <c r="F63" s="1"/>
      <c r="G63" s="1"/>
      <c r="H63" s="12"/>
      <c r="I63" s="12"/>
      <c r="J63" s="12"/>
      <c r="K63" s="13"/>
      <c r="L63" s="24" t="s">
        <v>21</v>
      </c>
      <c r="M63" s="25" t="s">
        <v>16</v>
      </c>
    </row>
    <row r="64" spans="2:13" ht="15.75" thickBot="1">
      <c r="B64" s="9"/>
      <c r="C64" s="3"/>
      <c r="D64" s="3"/>
      <c r="E64" s="3"/>
      <c r="F64" s="3"/>
      <c r="G64" s="3"/>
      <c r="H64" s="4"/>
      <c r="I64" s="4"/>
      <c r="J64" s="4"/>
      <c r="K64" s="10"/>
      <c r="L64" s="22">
        <f>SUM(L13:L62)</f>
        <v>6.770169999999999</v>
      </c>
      <c r="M64" s="23">
        <f>SUM(M13:M62)</f>
        <v>141</v>
      </c>
    </row>
    <row r="65" spans="2:10">
      <c r="B65"/>
      <c r="C65"/>
      <c r="D65"/>
      <c r="E65"/>
      <c r="F65"/>
      <c r="G65"/>
      <c r="H65"/>
      <c r="I65"/>
      <c r="J65"/>
    </row>
    <row r="66" spans="2:10">
      <c r="B66"/>
      <c r="C66"/>
      <c r="D66"/>
      <c r="E66"/>
      <c r="F66"/>
      <c r="G66"/>
      <c r="H66"/>
      <c r="I66"/>
      <c r="J66"/>
    </row>
    <row r="67" spans="2:10">
      <c r="B67"/>
      <c r="C67"/>
      <c r="D67"/>
      <c r="E67"/>
      <c r="F67"/>
      <c r="G67"/>
      <c r="H67"/>
      <c r="I67"/>
      <c r="J67"/>
    </row>
    <row r="68" spans="2:10">
      <c r="B68"/>
      <c r="C68"/>
      <c r="D68"/>
      <c r="E68"/>
      <c r="F68"/>
      <c r="G68"/>
      <c r="H68"/>
      <c r="I68"/>
      <c r="J68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